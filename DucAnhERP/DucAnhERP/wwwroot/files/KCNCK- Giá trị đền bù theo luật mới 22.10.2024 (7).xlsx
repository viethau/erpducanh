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202300"/>
  <mc:AlternateContent xmlns:mc="http://schemas.openxmlformats.org/markup-compatibility/2006">
    <mc:Choice Requires="x15">
      <x15ac:absPath xmlns:x15ac="http://schemas.microsoft.com/office/spreadsheetml/2010/11/ac" url="C:\Users\qminh\Desktop\"/>
    </mc:Choice>
  </mc:AlternateContent>
  <xr:revisionPtr revIDLastSave="0" documentId="13_ncr:1_{6F8753E7-AF4C-4630-9010-79ED2D1CD369}" xr6:coauthVersionLast="47" xr6:coauthVersionMax="47" xr10:uidLastSave="{00000000-0000-0000-0000-000000000000}"/>
  <bookViews>
    <workbookView xWindow="240" yWindow="690" windowWidth="28560" windowHeight="13470" tabRatio="850" activeTab="9" xr2:uid="{2D1AF163-9B35-4FE2-8FF8-DC8B36BE96F3}"/>
  </bookViews>
  <sheets>
    <sheet name="DM thu chi" sheetId="2" r:id="rId1"/>
    <sheet name="DM đối tượng PABT" sheetId="23" r:id="rId2"/>
    <sheet name="DM Đối tượng GPMB nhanh" sheetId="24" r:id="rId3"/>
    <sheet name="1. QĐ PABT K.hợp GPMB nhanh" sheetId="7" r:id="rId4"/>
    <sheet name="1.1 QĐ PABT K.Hợp T.Hồi đất" sheetId="6" r:id="rId5"/>
    <sheet name="2. QĐ PABT Đ.Chỉnh" sheetId="3" r:id="rId6"/>
    <sheet name="2.1 QĐ GPMB nhanh Đ.Chỉnh" sheetId="5" r:id="rId7"/>
    <sheet name="2.2 QĐ T.Hồi đất Đ.Chỉnh" sheetId="4" r:id="rId8"/>
    <sheet name="3. TH giá trị" sheetId="8" r:id="rId9"/>
    <sheet name="4. C.Tiết P.Án B.Thường" sheetId="9" r:id="rId10"/>
    <sheet name="4.1 TH P.Án B.Thường" sheetId="10" r:id="rId11"/>
    <sheet name="TH P.Án B.Thường" sheetId="36" r:id="rId12"/>
    <sheet name="TH Thưởng GPMB nhanh" sheetId="38" r:id="rId13"/>
    <sheet name="4.2 TH PABT theo QĐ PABT" sheetId="16" r:id="rId14"/>
    <sheet name="4.3 TH PABT theo Đ.Tượng" sheetId="29" r:id="rId15"/>
    <sheet name="4.4 DS Đ.Tượng T.Ứng" sheetId="30" r:id="rId16"/>
    <sheet name="5. DS hộ thu hồi PABT" sheetId="25" r:id="rId17"/>
    <sheet name="5. C.Tiết T.Hồi đất" sheetId="18" r:id="rId18"/>
    <sheet name="5.1 TH T.Hồi đất" sheetId="19" r:id="rId19"/>
    <sheet name="6. DS hộ  thu hồi GPMB nhanh" sheetId="32" r:id="rId20"/>
    <sheet name="7. D.Kiến thu, chi PABT" sheetId="21" r:id="rId21"/>
    <sheet name="8. D.kiến thu,chi GPMB nhanh" sheetId="28" r:id="rId22"/>
    <sheet name="DM PABT" sheetId="1" r:id="rId23"/>
    <sheet name="9. Thu, chi PABT" sheetId="12" r:id="rId24"/>
    <sheet name="9.1 TH thu,chi PABT+GPMB nhanh " sheetId="13" r:id="rId25"/>
    <sheet name="TH T.ứng+thu+chi PABT" sheetId="37" r:id="rId26"/>
    <sheet name="TH T.ứng+thu+chi GPMB nhanh" sheetId="39" r:id="rId27"/>
    <sheet name="9.2 TH thu chi  theo Q.Định" sheetId="33" r:id="rId28"/>
    <sheet name="9.3 TH thu chi theo tên" sheetId="34" r:id="rId29"/>
    <sheet name="10. Thu,chi KP H.Đồng" sheetId="15" r:id="rId30"/>
    <sheet name="11. Thu, chi ngoài PABT" sheetId="14" r:id="rId31"/>
  </sheets>
  <definedNames>
    <definedName name="_xlnm._FilterDatabase" localSheetId="9" hidden="1">'4. C.Tiết P.Án B.Thường'!$A$7:$AE$33</definedName>
    <definedName name="_xlnm._FilterDatabase" localSheetId="10" hidden="1">'4.1 TH P.Án B.Thường'!$B$7:$R$21</definedName>
    <definedName name="_xlnm._FilterDatabase" localSheetId="20" hidden="1">'7. D.Kiến thu, chi PABT'!$A$6:$R$21</definedName>
    <definedName name="_xlnm._FilterDatabase" localSheetId="23" hidden="1">'9. Thu, chi PABT'!$A$7:$U$36</definedName>
    <definedName name="_xlnm._FilterDatabase" localSheetId="2" hidden="1">'DM Đối tượng GPMB nhanh'!$A$8:$F$33</definedName>
    <definedName name="CTPABT_QĐGPMBNHANHĐIỀUCHỈNH">OFFSET('2.1 QĐ GPMB nhanh Đ.Chỉnh'!$B$7,MATCH('4. C.Tiết P.Án B.Thường'!$F1,'2.1 QĐ GPMB nhanh Đ.Chỉnh'!$B$7:$B$20008,0)-1,COLUMNS('2.1 QĐ GPMB nhanh Đ.Chỉnh'!$B$7:$D$7)-1,COUNTIFS('2.1 QĐ GPMB nhanh Đ.Chỉnh'!$B$7:$B$20008,'4. C.Tiết P.Án B.Thường'!XFC1),1)</definedName>
    <definedName name="CTPABT_QĐGPMBNHANHGỐC">OFFSET('1. QĐ PABT K.hợp GPMB nhanh'!$B$7,MATCH('4. C.Tiết P.Án B.Thường'!$B1,'1. QĐ PABT K.hợp GPMB nhanh'!$B$7:$B$20005,0)-1,COLUMNS('1. QĐ PABT K.hợp GPMB nhanh'!$B$7:$D$7)-1,COUNTIFS('1. QĐ PABT K.hợp GPMB nhanh'!$B$7:$B$20005,'4. C.Tiết P.Án B.Thường'!XFA1),1)</definedName>
    <definedName name="CTPABT_QĐPABT_điều_chỉnh">OFFSET('2. QĐ PABT Đ.Chỉnh'!$B$7,MATCH('4. C.Tiết P.Án B.Thường'!$B1,'2. QĐ PABT Đ.Chỉnh'!$B$7:$B$19989,0)-1,COLUMNS('2. QĐ PABT Đ.Chỉnh'!$B$7:$D$7)-1,COUNTIFS('2. QĐ PABT Đ.Chỉnh'!$B$7:$B$19989,'4. C.Tiết P.Án B.Thường'!$B1),1)</definedName>
    <definedName name="CTTHĐ_QĐTHUHỒIĐẤT_điều_chỉnh">OFFSET('2.2 QĐ T.Hồi đất Đ.Chỉnh'!$B$7,MATCH('5. C.Tiết T.Hồi đất'!$D1,'2.2 QĐ T.Hồi đất Đ.Chỉnh'!$B$7:$B$19999,0)-1,COLUMNS('2.2 QĐ T.Hồi đất Đ.Chỉnh'!$B$7:$D$7)-1,COUNTIFS('2.2 QĐ T.Hồi đất Đ.Chỉnh'!$B$7:$B$19999,'5. C.Tiết T.Hồi đất'!$D1),1)</definedName>
    <definedName name="CTTHĐ_QĐTHUHỒIĐẤTGỐC">OFFSET('1.1 QĐ PABT K.Hợp T.Hồi đất'!$B$7,MATCH('5. C.Tiết T.Hồi đất'!$B1,'1.1 QĐ PABT K.Hợp T.Hồi đất'!$B$7:$B$19999,0)-1,COLUMNS('1.1 QĐ PABT K.Hợp T.Hồi đất'!$B$7:$D$7)-1,COUNTIFS('1.1 QĐ PABT K.Hợp T.Hồi đất'!$B$7:$B$19999,'5. C.Tiết T.Hồi đất'!$B1),1)</definedName>
    <definedName name="D.KIENCHIGPMBNHANH_CMT_CCCD">OFFSET('DM Đối tượng GPMB nhanh'!$B$9,MATCH('8. D.kiến thu,chi GPMB nhanh'!$D1&amp;'8. D.kiến thu,chi GPMB nhanh'!$F1&amp;'8. D.kiến thu,chi GPMB nhanh'!$G1&amp;'8. D.kiến thu,chi GPMB nhanh'!$H1,'DM Đối tượng GPMB nhanh'!$B$9:$B$20001&amp;'DM Đối tượng GPMB nhanh'!$C$9:$C$20001&amp;'DM Đối tượng GPMB nhanh'!$D$9:$D$20001&amp;'DM Đối tượng GPMB nhanh'!$E$9:$E$20001,0)-1,COLUMNS('DM Đối tượng GPMB nhanh'!$B$9:$F$9)-1,COUNTIFS('DM Đối tượng GPMB nhanh'!$B$9:$B$20001,'8. D.kiến thu,chi GPMB nhanh'!$D1,'DM Đối tượng GPMB nhanh'!$C$9:$C$20001,'8. D.kiến thu,chi GPMB nhanh'!$F1,'DM Đối tượng GPMB nhanh'!$D$9:$D$20001,'8. D.kiến thu,chi GPMB nhanh'!$G1,'DM Đối tượng GPMB nhanh'!$E$9:$E$20001,'8. D.kiến thu,chi GPMB nhanh'!$H1),1)</definedName>
    <definedName name="D.KIENCHIGPMBNHANH_GPMBNHANH_Gốc">OFFSET('1. QĐ PABT K.hợp GPMB nhanh'!$B$7,MATCH('8. D.kiến thu,chi GPMB nhanh'!$C1,'1. QĐ PABT K.hợp GPMB nhanh'!$B$7:$B$19999,0)-1,COLUMNS('1. QĐ PABT K.hợp GPMB nhanh'!$B$7:$D$7)-1,COUNTIFS('1. QĐ PABT K.hợp GPMB nhanh'!$B$7:$B$19999,'8. D.kiến thu,chi GPMB nhanh'!$C1),1)</definedName>
    <definedName name="D.KIENCHIGPMBNHANH_Họ_Tên">OFFSET('DM Đối tượng GPMB nhanh'!$B$9,MATCH('8. D.kiến thu,chi GPMB nhanh'!$D1,'DM Đối tượng GPMB nhanh'!$B$9:$B$20001,0)-1,COLUMNS('DM Đối tượng GPMB nhanh'!$B$9:$C$9)-1,COUNTIFS('DM Đối tượng GPMB nhanh'!$B$9:$B$20001,'8. D.kiến thu,chi GPMB nhanh'!$D1),1)</definedName>
    <definedName name="D.KIENCHIGPMBNHANH_QĐ_GPMBNHANH_Điều_Chỉnh">OFFSET('2.1 QĐ GPMB nhanh Đ.Chỉnh'!$B$7,MATCH('8. D.kiến thu,chi GPMB nhanh'!$D1,'2.1 QĐ GPMB nhanh Đ.Chỉnh'!$B$7:$B$20004,0)-1,COLUMNS('2.1 QĐ GPMB nhanh Đ.Chỉnh'!$B$7:$D$7)-1,COUNTIFS('2.1 QĐ GPMB nhanh Đ.Chỉnh'!$B$7:$B$20004,'8. D.kiến thu,chi GPMB nhanh'!$D1),1)</definedName>
    <definedName name="D.KIENCHIGPMBNHANH_Thôn_Khu">OFFSET('DM Đối tượng GPMB nhanh'!$B$9,MATCH('8. D.kiến thu,chi GPMB nhanh'!$D1&amp;'8. D.kiến thu,chi GPMB nhanh'!$F1&amp;'8. D.kiến thu,chi GPMB nhanh'!$G1,'DM Đối tượng GPMB nhanh'!$B$9:$B$20001&amp;'DM Đối tượng GPMB nhanh'!$C$9:$C$20001&amp;'DM Đối tượng GPMB nhanh'!$D$9:$D$20001,0)-1,COLUMNS('DM Đối tượng GPMB nhanh'!$B$9:$E$9)-1,COUNTIFS('DM Đối tượng GPMB nhanh'!$B$9:$B$20001,'8. D.kiến thu,chi GPMB nhanh'!$D1,'DM Đối tượng GPMB nhanh'!$C$9:$C$20001,'8. D.kiến thu,chi GPMB nhanh'!$F1,'DM Đối tượng GPMB nhanh'!$D$9:$D$20001,'8. D.kiến thu,chi GPMB nhanh'!$G1),1)</definedName>
    <definedName name="D.KIENCHIGPMBNHANH_Xã">OFFSET('DM Đối tượng GPMB nhanh'!$B$9,MATCH('8. D.kiến thu,chi GPMB nhanh'!$D1&amp;'8. D.kiến thu,chi GPMB nhanh'!$F1,'DM Đối tượng GPMB nhanh'!$B$9:$B$20001&amp;'DM Đối tượng GPMB nhanh'!$C$9:$C$20001,0)-1,COLUMNS('DM Đối tượng GPMB nhanh'!$B$9:$D$9)-1,COUNTIFS('DM Đối tượng GPMB nhanh'!$B$9:$B$20001,'8. D.kiến thu,chi GPMB nhanh'!$D1,'DM Đối tượng GPMB nhanh'!$C$9:$C$20001,'8. D.kiến thu,chi GPMB nhanh'!$F1),1)</definedName>
    <definedName name="D.KIENCHIPABT_Họ_Và_Tên">OFFSET('DM đối tượng PABT'!$B$8,MATCH('7. D.Kiến thu, chi PABT'!$C1,'DM đối tượng PABT'!$B$8:$B$20000,0)-1,COLUMNS('DM đối tượng PABT'!$B$8:$C$8)-1,COUNTIFS('DM đối tượng PABT'!$B$8:$B$20000,'7. D.Kiến thu, chi PABT'!$C1),1)</definedName>
    <definedName name="D.KIENCHIPABT_Số_CMT_CCCD">OFFSET('DM đối tượng PABT'!$B$8,MATCH('7. D.Kiến thu, chi PABT'!$C1&amp;'7. D.Kiến thu, chi PABT'!$E1&amp;'7. D.Kiến thu, chi PABT'!$F1&amp;'7. D.Kiến thu, chi PABT'!$G1,'DM đối tượng PABT'!$B$8:$B$20000&amp;'DM đối tượng PABT'!$C$8:$C$20000&amp;'DM đối tượng PABT'!$D$8:$D$20000&amp;'DM đối tượng PABT'!$E$8:$E$20000,0)-1,COLUMNS('DM đối tượng PABT'!$B$8:$F$8)-1,COUNTIFS('DM đối tượng PABT'!$B$8:$B$20000,'7. D.Kiến thu, chi PABT'!$C1,'DM đối tượng PABT'!$C$8:$C$20000,'7. D.Kiến thu, chi PABT'!$E1,'DM đối tượng PABT'!$D$8:$D$20000,'7. D.Kiến thu, chi PABT'!$F1,'DM đối tượng PABT'!$E$8:$E$20000,'7. D.Kiến thu, chi PABT'!$G1),1)</definedName>
    <definedName name="D.KIENCHIPABT_Thôn_Khu">OFFSET('DM đối tượng PABT'!$B$8,MATCH('7. D.Kiến thu, chi PABT'!$C1&amp;'7. D.Kiến thu, chi PABT'!$E1&amp;'7. D.Kiến thu, chi PABT'!$F1,'DM đối tượng PABT'!$B$8:$B$20000&amp;'DM đối tượng PABT'!$C$8:$C$20000&amp;'DM đối tượng PABT'!$D$8:$D$20000,0)-1,COLUMNS('DM đối tượng PABT'!$B$8:$E$8)-1,COUNTIFS('DM đối tượng PABT'!$B$8:$B$20000,'7. D.Kiến thu, chi PABT'!$C1,'DM đối tượng PABT'!$C$8:$C$20000,'7. D.Kiến thu, chi PABT'!$E1,'DM đối tượng PABT'!$D$8:$D$20000,'7. D.Kiến thu, chi PABT'!$F1),1)</definedName>
    <definedName name="D.KIENCHIPABT_Xã_Phường">OFFSET('DM đối tượng PABT'!$B$8,MATCH('7. D.Kiến thu, chi PABT'!$C1&amp;'7. D.Kiến thu, chi PABT'!$E1,'DM đối tượng PABT'!$B$8:$B$20000&amp;'DM đối tượng PABT'!$C$8:$C$20000,0)-1,COLUMNS('DM đối tượng PABT'!$B$8:$D$8)-1,COUNTIFS('DM đối tượng PABT'!$B$8:$B$20000,'7. D.Kiến thu, chi PABT'!$C1,'DM đối tượng PABT'!$C$8:$C$20000,'7. D.Kiến thu, chi PABT'!$E1),1)</definedName>
    <definedName name="D.KiếnPABT_QDDPABT_Điều_Chỉnh">OFFSET('2. QĐ PABT Đ.Chỉnh'!$B$7,MATCH('7. D.Kiến thu, chi PABT'!$C1,'2. QĐ PABT Đ.Chỉnh'!$B$7:$B$20001,0)-1,COLUMNS('2. QĐ PABT Đ.Chỉnh'!$B$7:$D$7)-1,COUNTIFS('2. QĐ PABT Đ.Chỉnh'!$B$7:$B$20001,'7. D.Kiến thu, chi PABT'!$C1),1)</definedName>
    <definedName name="DSPHAITHUHOI_CMT_CCCD" localSheetId="19">OFFSET('DM đối tượng PABT'!$B$8,MATCH('6. DS hộ  thu hồi GPMB nhanh'!$C1&amp;'6. DS hộ  thu hồi GPMB nhanh'!$E1&amp;'6. DS hộ  thu hồi GPMB nhanh'!$F1&amp;'6. DS hộ  thu hồi GPMB nhanh'!$G1,'DM đối tượng PABT'!$B$8:$B$20000&amp;'DM đối tượng PABT'!$C$8:$C$20000&amp;'DM đối tượng PABT'!$D$8:$D$20000&amp;'DM đối tượng PABT'!$E$8:$E$20000,0)-1,COLUMNS('DM đối tượng PABT'!$B$8:$F$8)-1,COUNTIFS('DM đối tượng PABT'!$B$8:$B$20000,'6. DS hộ  thu hồi GPMB nhanh'!$C1,'DM đối tượng PABT'!$C$8:$C$20000,'6. DS hộ  thu hồi GPMB nhanh'!$E1,'DM đối tượng PABT'!$D$8:$D$20000,'6. DS hộ  thu hồi GPMB nhanh'!$F1,'DM đối tượng PABT'!$E$8:$E$20000,'6. DS hộ  thu hồi GPMB nhanh'!$G1),1)</definedName>
    <definedName name="DSPHAITHUHOI_CMT_CCCD">OFFSET('DM đối tượng PABT'!$B$8,MATCH('5. DS hộ thu hồi PABT'!$C1&amp;'5. DS hộ thu hồi PABT'!$D1&amp;'5. DS hộ thu hồi PABT'!$E1&amp;'5. DS hộ thu hồi PABT'!$F1,'DM đối tượng PABT'!$B$8:$B$20000&amp;'DM đối tượng PABT'!$C$8:$C$20000&amp;'DM đối tượng PABT'!$D$8:$D$20000&amp;'DM đối tượng PABT'!$E$8:$E$20000,0)-1,COLUMNS('DM đối tượng PABT'!$B$8:$F$8)-1,COUNTIFS('DM đối tượng PABT'!$B$8:$B$20000,'5. DS hộ thu hồi PABT'!$C1,'DM đối tượng PABT'!$C$8:$C$20000,'5. DS hộ thu hồi PABT'!$D1,'DM đối tượng PABT'!$D$8:$D$20000,'5. DS hộ thu hồi PABT'!$E1,'DM đối tượng PABT'!$E$8:$E$20000,'5. DS hộ thu hồi PABT'!$F1),1)</definedName>
    <definedName name="DSPHAITHUHOI_Họ_Tên" localSheetId="19">OFFSET('DM đối tượng PABT'!$B$8,MATCH('6. DS hộ  thu hồi GPMB nhanh'!$C1,'DM đối tượng PABT'!$B$8:$B$20000,0)-1,COLUMNS('DM đối tượng PABT'!$B$8:$C$8)-1,COUNTIFS('DM đối tượng PABT'!$B$8:$B$20000,'6. DS hộ  thu hồi GPMB nhanh'!$C1),1)</definedName>
    <definedName name="DSPHAITHUHOI_Họ_Tên">OFFSET('DM đối tượng PABT'!$B$8,MATCH('5. DS hộ thu hồi PABT'!$C1,'DM đối tượng PABT'!$B$8:$B$20000,0)-1,COLUMNS('DM đối tượng PABT'!$B$8:$C$8)-1,COUNTIFS('DM đối tượng PABT'!$B$8:$B$20000,'5. DS hộ thu hồi PABT'!$C1),1)</definedName>
    <definedName name="DSPHAITHUHOI_Khu_Thôn" localSheetId="19">OFFSET('DM đối tượng PABT'!$B$8,MATCH('6. DS hộ  thu hồi GPMB nhanh'!$C1&amp;'6. DS hộ  thu hồi GPMB nhanh'!$E1&amp;'6. DS hộ  thu hồi GPMB nhanh'!$F1,'DM đối tượng PABT'!$B$8:$B$20000&amp;'DM đối tượng PABT'!$C$8:$C$20000&amp;'DM đối tượng PABT'!$D$8:$D$20000,0)-1,COLUMNS('DM đối tượng PABT'!$B$8:$E$8)-1,COUNTIFS('DM đối tượng PABT'!$B$8:$B$20000,'6. DS hộ  thu hồi GPMB nhanh'!$C1,'DM đối tượng PABT'!$C$8:$C$20000,'6. DS hộ  thu hồi GPMB nhanh'!$E1,'DM đối tượng PABT'!$D$8:$D$20000,'6. DS hộ  thu hồi GPMB nhanh'!$F1),1)</definedName>
    <definedName name="DSPHAITHUHOI_Khu_Thôn">OFFSET('DM đối tượng PABT'!$B$8,MATCH('5. DS hộ thu hồi PABT'!$C1&amp;'5. DS hộ thu hồi PABT'!$D1&amp;'5. DS hộ thu hồi PABT'!$E1,'DM đối tượng PABT'!$B$8:$B$20000&amp;'DM đối tượng PABT'!$C$8:$C$20000&amp;'DM đối tượng PABT'!$D$8:$D$20000,0)-1,COLUMNS('DM đối tượng PABT'!$B$8:$E$8)-1,COUNTIFS('DM đối tượng PABT'!$B$8:$B$20000,'5. DS hộ thu hồi PABT'!$C1,'DM đối tượng PABT'!$C$8:$C$20000,'5. DS hộ thu hồi PABT'!$D1,'DM đối tượng PABT'!$D$8:$D$20000,'5. DS hộ thu hồi PABT'!$E1),1)</definedName>
    <definedName name="DSPHAITHUHOI_QĐGPMBNHANH_Gốc" localSheetId="19">OFFSET('1. QĐ PABT K.hợp GPMB nhanh'!$B$7,MATCH('6. DS hộ  thu hồi GPMB nhanh'!$C1,'1. QĐ PABT K.hợp GPMB nhanh'!$B$7:$B$20000,0)-1,COLUMNS('1. QĐ PABT K.hợp GPMB nhanh'!$B$7:$D$7)-1,COUNTIFS('1. QĐ PABT K.hợp GPMB nhanh'!$B$7:$B$20000,'6. DS hộ  thu hồi GPMB nhanh'!$C1),1)</definedName>
    <definedName name="DSPHAITHUHOI_QĐGPMBNHANH_Gốc">OFFSET('1. QĐ PABT K.hợp GPMB nhanh'!$B$7,MATCH('5. DS hộ thu hồi PABT'!$C1,'1. QĐ PABT K.hợp GPMB nhanh'!$B$7:$B$20000,0)-1,COLUMNS('1. QĐ PABT K.hợp GPMB nhanh'!$B$7:$D$7)-1,COUNTIFS('1. QĐ PABT K.hợp GPMB nhanh'!$B$7:$B$20000,'5. DS hộ thu hồi PABT'!$C1),1)</definedName>
    <definedName name="DSPHAITHUHOI_Xã_Phường" localSheetId="19">OFFSET('DM đối tượng PABT'!$B$8,MATCH('6. DS hộ  thu hồi GPMB nhanh'!$C1&amp;'6. DS hộ  thu hồi GPMB nhanh'!$E1,'DM đối tượng PABT'!$B$8:$B$20000&amp;'DM đối tượng PABT'!$C$8:$C$20000,0)-1,COLUMNS('DM đối tượng PABT'!$B$8:$D$8)-1,COUNTIFS('DM đối tượng PABT'!$B$8:$B$20000,'6. DS hộ  thu hồi GPMB nhanh'!$C1,'DM đối tượng PABT'!$C$8:$C$20000,'6. DS hộ  thu hồi GPMB nhanh'!$E1),1)</definedName>
    <definedName name="DSPHAITHUHOI_Xã_Phường">OFFSET('DM đối tượng PABT'!$B$8,MATCH('5. DS hộ thu hồi PABT'!$C1&amp;'5. DS hộ thu hồi PABT'!$D1,'DM đối tượng PABT'!$B$8:$B$20000&amp;'DM đối tượng PABT'!$C$8:$C$20000,0)-1,COLUMNS('DM đối tượng PABT'!$B$8:$D$8)-1,COUNTIFS('DM đối tượng PABT'!$B$8:$B$20000,'5. DS hộ thu hồi PABT'!$C1,'DM đối tượng PABT'!$C$8:$C$20000,'5. DS hộ thu hồi PABT'!$D1),1)</definedName>
    <definedName name="Ghi_chú_PABT">#REF!</definedName>
    <definedName name="Hạng_mục_chi" localSheetId="19">Table11[Hạng mục chi]</definedName>
    <definedName name="Hạng_mục_chi" localSheetId="26">Table11[Hạng mục chi]</definedName>
    <definedName name="Hạng_mục_chi" localSheetId="12">Table11[Hạng mục chi]</definedName>
    <definedName name="Hạng_mục_chi">Table11[Hạng mục chi]</definedName>
    <definedName name="Hình_thức_thu_chi" localSheetId="19">Table2[[#All],[Hình thức thu chi]]</definedName>
    <definedName name="Hình_thức_thu_chi" localSheetId="26">Table2[[#All],[Hình thức thu chi]]</definedName>
    <definedName name="Hình_thức_thu_chi" localSheetId="12">Table2[[#All],[Hình thức thu chi]]</definedName>
    <definedName name="Hình_thức_thu_chi">Table2[[#All],[Hình thức thu chi]]</definedName>
    <definedName name="Loại_chứng_từ" localSheetId="19">Table1[[#All],[Loại chứng từ]]</definedName>
    <definedName name="Loại_chứng_từ" localSheetId="26">Table1[[#All],[Loại chứng từ]]</definedName>
    <definedName name="Loại_chứng_từ" localSheetId="12">Table1[[#All],[Loại chứng từ]]</definedName>
    <definedName name="Loại_chứng_từ">Table1[[#All],[Loại chứng từ]]</definedName>
    <definedName name="Số_QĐ_CV_chi_phí_hội_đồng" localSheetId="19">Table9[[#All],[Số QĐ/CV chi phí hội đồng]]</definedName>
    <definedName name="Số_QĐ_CV_chi_phí_hội_đồng" localSheetId="26">Table9[[#All],[Số QĐ/CV chi phí hội đồng]]</definedName>
    <definedName name="Số_QĐ_CV_chi_phí_hội_đồng" localSheetId="12">Table9[[#All],[Số QĐ/CV chi phí hội đồng]]</definedName>
    <definedName name="Số_QĐ_CV_chi_phí_hội_đồng">Table9[[#All],[Số QĐ/CV chi phí hội đồng]]</definedName>
    <definedName name="Số_QĐ_phương_án_bồi_thường_gốc" localSheetId="19">Table6[[#All],[Số QĐ bồi thường gốc]]</definedName>
    <definedName name="Số_QĐ_phương_án_bồi_thường_gốc" localSheetId="26">Table6[[#All],[Số QĐ bồi thường gốc]]</definedName>
    <definedName name="Số_QĐ_phương_án_bồi_thường_gốc" localSheetId="12">Table6[[#All],[Số QĐ bồi thường gốc]]</definedName>
    <definedName name="Số_QĐ_phương_án_bồi_thường_gốc">Table6[[#All],[Số QĐ bồi thường gốc]]</definedName>
    <definedName name="Số_QĐ_thu_hồi_đất_gốc" localSheetId="19">Table7[[#All],[Số QĐ thu hồi đất gốc]]</definedName>
    <definedName name="Số_QĐ_thu_hồi_đất_gốc" localSheetId="26">Table7[[#All],[Số QĐ thu hồi đất gốc]]</definedName>
    <definedName name="Số_QĐ_thu_hồi_đất_gốc" localSheetId="12">Table7[[#All],[Số QĐ thu hồi đất gốc]]</definedName>
    <definedName name="Số_QĐ_thu_hồi_đất_gốc">Table7[[#All],[Số QĐ thu hồi đất gốc]]</definedName>
    <definedName name="Số_QĐ_thưởng_GPMB_nhanh_gốc" localSheetId="19">Table8[[#All],[Số QĐ thưởng GPMB nhanh gốc]]</definedName>
    <definedName name="Số_QĐ_thưởng_GPMB_nhanh_gốc" localSheetId="26">Table8[[#All],[Số QĐ thưởng GPMB nhanh gốc]]</definedName>
    <definedName name="Số_QĐ_thưởng_GPMB_nhanh_gốc" localSheetId="12">Table8[[#All],[Số QĐ thưởng GPMB nhanh gốc]]</definedName>
    <definedName name="Số_QĐ_thưởng_GPMB_nhanh_gốc">Table8[[#All],[Số QĐ thưởng GPMB nhanh gốc]]</definedName>
    <definedName name="THUCHINGOAI_CMT_CCCD">OFFSET('DM đối tượng PABT'!$B$8,MATCH('11. Thu, chi ngoài PABT'!$B1&amp;'11. Thu, chi ngoài PABT'!$C1&amp;'11. Thu, chi ngoài PABT'!$D1,'DM đối tượng PABT'!$C$8:$C$20000&amp;'DM đối tượng PABT'!$D$8:$D$20000&amp;'DM đối tượng PABT'!$E$8:$E$20000,0)-1,COLUMNS('DM đối tượng PABT'!$B$8:$F$8)-1,COUNTIFS('DM đối tượng PABT'!$C$8:$C$20000,'11. Thu, chi ngoài PABT'!$B1,'DM đối tượng PABT'!$D$8:$D$20000,'11. Thu, chi ngoài PABT'!$C1,'DM đối tượng PABT'!$E$8:$E$20000,'11. Thu, chi ngoài PABT'!$D1),1)</definedName>
    <definedName name="THUCHINGOAI_GPMBNHANH_Gốc">OFFSET('1. QĐ PABT K.hợp GPMB nhanh'!$B$7,MATCH('11. Thu, chi ngoài PABT'!$J1,'1. QĐ PABT K.hợp GPMB nhanh'!$B$7:$B$19999,0)-1,COLUMNS('1. QĐ PABT K.hợp GPMB nhanh'!$B$7:$D$7)-1,COUNTIFS('1. QĐ PABT K.hợp GPMB nhanh'!$B$7:$B$19999,'11. Thu, chi ngoài PABT'!$J1),1)</definedName>
    <definedName name="THUCHINGOAI_Khu_Thôn">OFFSET('DM đối tượng PABT'!$B$8,MATCH('11. Thu, chi ngoài PABT'!$B1&amp;'11. Thu, chi ngoài PABT'!$C1,'DM đối tượng PABT'!$C$8:$C$20000&amp;'DM đối tượng PABT'!$D$8:$D$20000,0)-1,COLUMNS('DM đối tượng PABT'!$B$8:$E$8)-1,COUNTIFS('DM đối tượng PABT'!$C$8:$C$20000,'11. Thu, chi ngoài PABT'!$B1,'DM đối tượng PABT'!$D$8:$D$20000,'11. Thu, chi ngoài PABT'!$C1),1)</definedName>
    <definedName name="THUCHINGOAI_PABT_Gốc">OFFSET('DM đối tượng PABT'!$B$8,MATCH('11. Thu, chi ngoài PABT'!$B1&amp;'11. Thu, chi ngoài PABT'!$C1&amp;'11. Thu, chi ngoài PABT'!$D1&amp;'11. Thu, chi ngoài PABT'!$E1,'DM đối tượng PABT'!$C$8:$C$20000&amp;'DM đối tượng PABT'!$D$8:$D$20000&amp;'DM đối tượng PABT'!$E$8:$E$20000&amp;'DM đối tượng PABT'!$F$8:$F$20000,0)-1,COLUMNS('DM đối tượng PABT'!$B$8:$B$8)-1,COUNTIFS('DM đối tượng PABT'!$C$8:$C$20000,'11. Thu, chi ngoài PABT'!$B1,'DM đối tượng PABT'!$D$8:$D$20000,'11. Thu, chi ngoài PABT'!$C1,'DM đối tượng PABT'!$E$8:$E$20000,'11. Thu, chi ngoài PABT'!$D1,'DM đối tượng PABT'!$F$8:$F$20000,'11. Thu, chi ngoài PABT'!$E1),1)</definedName>
    <definedName name="THUCHINGOAI_Xã_phường">OFFSET('DM đối tượng PABT'!$B$8,MATCH('11. Thu, chi ngoài PABT'!$B1,'DM đối tượng PABT'!$C$8:$C$20000,0)-1,COLUMNS('DM đối tượng PABT'!$B$8:$D$8)-1,COUNTIFS('DM đối tượng PABT'!$C$8:$C$20000,'11. Thu, chi ngoài PABT'!$B1),1)</definedName>
    <definedName name="THUCHIPABT_CMT_CCCD">IF('9. Thu, chi PABT'!XEX1="",OFFSET('DM đối tượng PABT'!$B$8,MATCH('9. Thu, chi PABT'!$B1&amp;'9. Thu, chi PABT'!$J1&amp;'9. Thu, chi PABT'!$K1&amp;'9. Thu, chi PABT'!$L1,'DM đối tượng PABT'!$B$8:$B$20000&amp;'DM đối tượng PABT'!$C$8:$C$20000&amp;'DM đối tượng PABT'!$D$8:$D$20000&amp;'DM đối tượng PABT'!$E$8:$E$20000,0)-1,COLUMNS('DM đối tượng PABT'!$B$8:$F$8)-1,COUNTIFS('DM đối tượng PABT'!$B$8:$B$20000,'9. Thu, chi PABT'!$B1,'DM đối tượng PABT'!$C$8:$C$20000,'9. Thu, chi PABT'!$J1,'DM đối tượng PABT'!$D$8:$D$20000,'9. Thu, chi PABT'!$K1,'DM đối tượng PABT'!$E$8:$E$20000,'9. Thu, chi PABT'!$L1),1),OFFSET('DM Đối tượng GPMB nhanh'!$B$9,MATCH('9. Thu, chi PABT'!$F1&amp;'9. Thu, chi PABT'!$J1&amp;'9. Thu, chi PABT'!$K1&amp;'9. Thu, chi PABT'!$L1,'DM Đối tượng GPMB nhanh'!$B$9:$B$20001&amp;'DM Đối tượng GPMB nhanh'!$C$9:$C$20001&amp;'DM Đối tượng GPMB nhanh'!$D$9:$D$20001&amp;'DM Đối tượng GPMB nhanh'!$E$9:$E$20001,0)-1,COLUMNS('DM Đối tượng GPMB nhanh'!$B$9:$F$9)-1,COUNTIFS('DM Đối tượng GPMB nhanh'!$B$9:$B$20001,'9. Thu, chi PABT'!$F1,'DM Đối tượng GPMB nhanh'!$C$9:$C$20001,'9. Thu, chi PABT'!$J1,'DM Đối tượng GPMB nhanh'!$D$9:$D$20001,'9. Thu, chi PABT'!$K1,'DM Đối tượng GPMB nhanh'!$E$9:$E$20001,'9. Thu, chi PABT'!$L1),1))</definedName>
    <definedName name="THUCHIPABT_GPMBNHANH_điều_chỉnh">OFFSET('2.1 QĐ GPMB nhanh Đ.Chỉnh'!$B$7,MATCH('9. Thu, chi PABT'!$F1,'2.1 QĐ GPMB nhanh Đ.Chỉnh'!$B$7:$B$20008,0)-1,COLUMNS('2.1 QĐ GPMB nhanh Đ.Chỉnh'!$B$7:$D$7)-1,COUNTIFS('2.1 QĐ GPMB nhanh Đ.Chỉnh'!$B$7:$B$20008,'9. Thu, chi PABT'!$F1),1)</definedName>
    <definedName name="THUCHIPABT_Họ_Tên">IF('9. Thu, chi PABT'!XFA1="",OFFSET('DM đối tượng PABT'!$B$8,MATCH('9. Thu, chi PABT'!$B1,'DM đối tượng PABT'!$B$8:$B$20000,0)-1,COLUMNS('DM đối tượng PABT'!$B$8:$C$8)-1,COUNTIFS('DM đối tượng PABT'!$B$8:$B$20000,'9. Thu, chi PABT'!$B1),1),OFFSET('DM Đối tượng GPMB nhanh'!$B$9,MATCH('9. Thu, chi PABT'!$F1,'DM Đối tượng GPMB nhanh'!$B$9:$B$20001,0)-1,COLUMNS('DM Đối tượng GPMB nhanh'!$B$9:$C$9)-1,COUNTIFS('DM Đối tượng GPMB nhanh'!$B$9:$B$20001,'9. Thu, chi PABT'!$F1),1))</definedName>
    <definedName name="THUCHIPABT_KHUHC">IF('9. Thu, chi PABT'!XEY1="",OFFSET('DM đối tượng PABT'!$B$8,MATCH('9. Thu, chi PABT'!$B1&amp;'9. Thu, chi PABT'!$J1&amp;'9. Thu, chi PABT'!$K1,'DM đối tượng PABT'!$B$8:$B$20000&amp;'DM đối tượng PABT'!$C$8:$C$20000&amp;'DM đối tượng PABT'!$D$8:$D$20000,0)-1,COLUMNS('DM đối tượng PABT'!$B$8:$E$8)-1,COUNTIFS('DM đối tượng PABT'!$B$8:$B$20000,'9. Thu, chi PABT'!$B1,'DM đối tượng PABT'!$C$8:$C$20000,'9. Thu, chi PABT'!$J1,'DM đối tượng PABT'!$D$8:$D$20000,'9. Thu, chi PABT'!$K1),1),OFFSET('DM Đối tượng GPMB nhanh'!$B$9,MATCH('9. Thu, chi PABT'!$F1&amp;'9. Thu, chi PABT'!$J1&amp;'9. Thu, chi PABT'!$K1,'DM Đối tượng GPMB nhanh'!$B$9:$B$20001&amp;'DM Đối tượng GPMB nhanh'!$C$9:$C$20001&amp;'DM Đối tượng GPMB nhanh'!$D$9:$D$20001,0)-1,COLUMNS('DM Đối tượng GPMB nhanh'!$B$9:$E$9)-1,COUNTIFS('DM Đối tượng GPMB nhanh'!$B$9:$B$20001,'9. Thu, chi PABT'!$F1,'DM Đối tượng GPMB nhanh'!$C$9:$C$20001,'9. Thu, chi PABT'!$J1,'DM Đối tượng GPMB nhanh'!$D$9:$D$20001,'9. Thu, chi PABT'!$K1),1))</definedName>
    <definedName name="THUCHIPABT_PABT_điều_chỉnh">OFFSET('2. QĐ PABT Đ.Chỉnh'!$B$7,MATCH('9. Thu, chi PABT'!$B1,'2. QĐ PABT Đ.Chỉnh'!$B$7:$B$20001,0)-1,COLUMNS('2. QĐ PABT Đ.Chỉnh'!$B$7:$D$7)-1,COUNTIFS('2. QĐ PABT Đ.Chỉnh'!$B$7:$B$20001,'9. Thu, chi PABT'!$B1),1)</definedName>
    <definedName name="THUCHIPABT_sốqđthưởnggpmbnhanhgốc">OFFSET('1. QĐ PABT K.hợp GPMB nhanh'!$B$7,MATCH('9. Thu, chi PABT'!$B1,'1. QĐ PABT K.hợp GPMB nhanh'!$B$7:$B$10005,0)-1,COLUMNS('1. QĐ PABT K.hợp GPMB nhanh'!$B$7:$D$7)-1,COUNTIFS('1. QĐ PABT K.hợp GPMB nhanh'!$B$7:$B$10005,'9. Thu, chi PABT'!$B1),1)</definedName>
    <definedName name="THUCHIPABT_Xã">IF('9. Thu, chi PABT'!XEZ1="",OFFSET('DM đối tượng PABT'!$B$8,MATCH('9. Thu, chi PABT'!$B1&amp;'9. Thu, chi PABT'!$J1,'DM đối tượng PABT'!$B$8:$B$20000&amp;'DM đối tượng PABT'!$C$8:$C$20000,0)-1,COLUMNS('DM đối tượng PABT'!$B$8:$D$8)-1,COUNTIFS('DM đối tượng PABT'!$B$8:$B$20000,'9. Thu, chi PABT'!$B1,'DM đối tượng PABT'!$C$8:$C$20000,'9. Thu, chi PABT'!$J1),1),OFFSET('DM Đối tượng GPMB nhanh'!$B$9,MATCH('9. Thu, chi PABT'!$F1&amp;'9. Thu, chi PABT'!$J1,'DM Đối tượng GPMB nhanh'!$B$9:$B$20001&amp;'DM Đối tượng GPMB nhanh'!$C$9:$C$20001,0)-1,COLUMNS('DM Đối tượng GPMB nhanh'!$B$9:$D$9)-1,COUNTIFS('DM Đối tượng GPMB nhanh'!$B$9:$B$20001,'9. Thu, chi PABT'!$F1,'DM Đối tượng GPMB nhanh'!$C$9:$C$20001,'9. Thu, chi PABT'!$J1),1))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3" l="1" a="1"/>
  <c r="B8" i="23" s="1"/>
  <c r="Q11" i="9"/>
  <c r="E13" i="9" a="1"/>
  <c r="E13" i="9" s="1"/>
  <c r="B9" i="39" a="1"/>
  <c r="B9" i="39" s="1"/>
  <c r="L17" i="39"/>
  <c r="K17" i="39"/>
  <c r="J17" i="39"/>
  <c r="H17" i="39"/>
  <c r="G17" i="39"/>
  <c r="F17" i="39"/>
  <c r="L16" i="39"/>
  <c r="K16" i="39"/>
  <c r="J16" i="39"/>
  <c r="H16" i="39"/>
  <c r="G16" i="39"/>
  <c r="F16" i="39"/>
  <c r="L15" i="39"/>
  <c r="K15" i="39"/>
  <c r="J15" i="39"/>
  <c r="H15" i="39"/>
  <c r="G15" i="39"/>
  <c r="F15" i="39"/>
  <c r="L14" i="39"/>
  <c r="K14" i="39"/>
  <c r="J14" i="39"/>
  <c r="H14" i="39"/>
  <c r="G14" i="39"/>
  <c r="F14" i="39"/>
  <c r="L13" i="39"/>
  <c r="K13" i="39"/>
  <c r="J13" i="39"/>
  <c r="H13" i="39"/>
  <c r="G13" i="39"/>
  <c r="F13" i="39"/>
  <c r="B9" i="37" a="1"/>
  <c r="B9" i="37" s="1"/>
  <c r="K17" i="37"/>
  <c r="J17" i="37"/>
  <c r="I17" i="37"/>
  <c r="K16" i="37"/>
  <c r="J16" i="37"/>
  <c r="I16" i="37"/>
  <c r="K15" i="37"/>
  <c r="J15" i="37"/>
  <c r="I15" i="37"/>
  <c r="K14" i="37"/>
  <c r="J14" i="37"/>
  <c r="I14" i="37"/>
  <c r="G17" i="37"/>
  <c r="F17" i="37"/>
  <c r="E17" i="37"/>
  <c r="G16" i="37"/>
  <c r="F16" i="37"/>
  <c r="E16" i="37"/>
  <c r="G15" i="37"/>
  <c r="F15" i="37"/>
  <c r="E15" i="37"/>
  <c r="G14" i="37"/>
  <c r="F14" i="37"/>
  <c r="E14" i="37"/>
  <c r="I17" i="38"/>
  <c r="H17" i="38"/>
  <c r="I16" i="38"/>
  <c r="H16" i="38"/>
  <c r="I15" i="38"/>
  <c r="H15" i="38"/>
  <c r="I14" i="38"/>
  <c r="H14" i="38"/>
  <c r="B36" i="38" a="1"/>
  <c r="B36" i="38" s="1"/>
  <c r="H17" i="36"/>
  <c r="H16" i="36"/>
  <c r="H15" i="36"/>
  <c r="H14" i="36"/>
  <c r="G17" i="36"/>
  <c r="G16" i="36"/>
  <c r="G15" i="36"/>
  <c r="G14" i="36"/>
  <c r="F10" i="39" l="1"/>
  <c r="H10" i="39"/>
  <c r="F12" i="39"/>
  <c r="J11" i="39"/>
  <c r="L11" i="39"/>
  <c r="K12" i="39"/>
  <c r="G10" i="39"/>
  <c r="K10" i="39"/>
  <c r="H12" i="39"/>
  <c r="G12" i="39"/>
  <c r="F11" i="39"/>
  <c r="L10" i="39"/>
  <c r="G11" i="39"/>
  <c r="J12" i="39"/>
  <c r="H11" i="39"/>
  <c r="K11" i="39"/>
  <c r="L12" i="39"/>
  <c r="J10" i="39"/>
  <c r="L9" i="39"/>
  <c r="K9" i="39"/>
  <c r="J9" i="39"/>
  <c r="H9" i="39"/>
  <c r="G9" i="39"/>
  <c r="F9" i="39"/>
  <c r="I13" i="39"/>
  <c r="I14" i="39"/>
  <c r="I15" i="39"/>
  <c r="I16" i="39"/>
  <c r="I17" i="39"/>
  <c r="F12" i="37"/>
  <c r="G13" i="37"/>
  <c r="E13" i="37"/>
  <c r="I13" i="37"/>
  <c r="F13" i="37"/>
  <c r="J13" i="37"/>
  <c r="K13" i="37"/>
  <c r="E12" i="37"/>
  <c r="G12" i="37"/>
  <c r="I12" i="37"/>
  <c r="J12" i="37"/>
  <c r="K12" i="37"/>
  <c r="G10" i="37"/>
  <c r="F10" i="37"/>
  <c r="E10" i="37"/>
  <c r="G11" i="37"/>
  <c r="J10" i="37"/>
  <c r="K10" i="37"/>
  <c r="I11" i="37"/>
  <c r="I10" i="37"/>
  <c r="J11" i="37"/>
  <c r="K11" i="37"/>
  <c r="F11" i="37"/>
  <c r="E11" i="37"/>
  <c r="I10" i="39" l="1"/>
  <c r="I12" i="39"/>
  <c r="I11" i="39"/>
  <c r="G9" i="37"/>
  <c r="F9" i="37"/>
  <c r="E9" i="37"/>
  <c r="J9" i="37"/>
  <c r="I9" i="37"/>
  <c r="K9" i="37"/>
  <c r="A14" i="36" l="1"/>
  <c r="A15" i="36"/>
  <c r="A16" i="36"/>
  <c r="A17" i="36"/>
  <c r="O17" i="38"/>
  <c r="N17" i="38"/>
  <c r="L17" i="38"/>
  <c r="K17" i="38"/>
  <c r="O16" i="38"/>
  <c r="N16" i="38"/>
  <c r="L16" i="38"/>
  <c r="K16" i="38"/>
  <c r="O15" i="38"/>
  <c r="N15" i="38"/>
  <c r="L15" i="38"/>
  <c r="K15" i="38"/>
  <c r="O14" i="38"/>
  <c r="N14" i="38"/>
  <c r="L14" i="38"/>
  <c r="K14" i="38"/>
  <c r="N17" i="36"/>
  <c r="M17" i="36"/>
  <c r="K17" i="36"/>
  <c r="J17" i="36"/>
  <c r="N16" i="36"/>
  <c r="M16" i="36"/>
  <c r="K16" i="36"/>
  <c r="J16" i="36"/>
  <c r="N15" i="36"/>
  <c r="M15" i="36"/>
  <c r="K15" i="36"/>
  <c r="J15" i="36"/>
  <c r="N14" i="36"/>
  <c r="M14" i="36"/>
  <c r="K14" i="36"/>
  <c r="J14" i="36"/>
  <c r="P17" i="39"/>
  <c r="O17" i="39"/>
  <c r="N17" i="39"/>
  <c r="M17" i="39"/>
  <c r="P16" i="39"/>
  <c r="O16" i="39"/>
  <c r="N16" i="39"/>
  <c r="M16" i="39"/>
  <c r="P15" i="39"/>
  <c r="O15" i="39"/>
  <c r="N15" i="39"/>
  <c r="M15" i="39"/>
  <c r="Q15" i="39" s="1"/>
  <c r="P14" i="39"/>
  <c r="O14" i="39"/>
  <c r="N14" i="39"/>
  <c r="M14" i="39"/>
  <c r="P13" i="39"/>
  <c r="O13" i="39"/>
  <c r="N13" i="39"/>
  <c r="M13" i="39"/>
  <c r="P12" i="39"/>
  <c r="O12" i="39"/>
  <c r="N12" i="39"/>
  <c r="M12" i="39"/>
  <c r="Q12" i="39" s="1"/>
  <c r="P11" i="39"/>
  <c r="O11" i="39"/>
  <c r="N11" i="39"/>
  <c r="M11" i="39"/>
  <c r="Q11" i="39" s="1"/>
  <c r="P10" i="39"/>
  <c r="O10" i="39"/>
  <c r="N10" i="39"/>
  <c r="M10" i="39"/>
  <c r="Q10" i="39" s="1"/>
  <c r="P9" i="39"/>
  <c r="O9" i="39"/>
  <c r="N9" i="39"/>
  <c r="M9" i="39"/>
  <c r="I9" i="39"/>
  <c r="L10" i="37"/>
  <c r="L11" i="37"/>
  <c r="L12" i="37"/>
  <c r="L13" i="37"/>
  <c r="L14" i="37"/>
  <c r="L15" i="37"/>
  <c r="L16" i="37"/>
  <c r="L17" i="37"/>
  <c r="L9" i="37"/>
  <c r="Q9" i="39" l="1"/>
  <c r="Q14" i="39"/>
  <c r="Q16" i="39"/>
  <c r="Q17" i="39"/>
  <c r="Q13" i="39"/>
  <c r="M17" i="38"/>
  <c r="P17" i="38"/>
  <c r="Q17" i="38" s="1"/>
  <c r="M15" i="38"/>
  <c r="P15" i="38"/>
  <c r="P16" i="38"/>
  <c r="M14" i="38"/>
  <c r="M16" i="38"/>
  <c r="P14" i="38"/>
  <c r="J15" i="38"/>
  <c r="L17" i="36"/>
  <c r="L15" i="36"/>
  <c r="J17" i="38"/>
  <c r="J14" i="38"/>
  <c r="J16" i="38"/>
  <c r="O15" i="36"/>
  <c r="L16" i="36"/>
  <c r="O14" i="36"/>
  <c r="O16" i="36"/>
  <c r="O17" i="36"/>
  <c r="L14" i="36"/>
  <c r="I16" i="36"/>
  <c r="I14" i="36"/>
  <c r="I15" i="36"/>
  <c r="I17" i="36"/>
  <c r="M10" i="37"/>
  <c r="N10" i="37"/>
  <c r="O10" i="37"/>
  <c r="M11" i="37"/>
  <c r="N11" i="37"/>
  <c r="O11" i="37"/>
  <c r="M12" i="37"/>
  <c r="N12" i="37"/>
  <c r="O12" i="37"/>
  <c r="M13" i="37"/>
  <c r="N13" i="37"/>
  <c r="O13" i="37"/>
  <c r="M14" i="37"/>
  <c r="N14" i="37"/>
  <c r="O14" i="37"/>
  <c r="M15" i="37"/>
  <c r="N15" i="37"/>
  <c r="O15" i="37"/>
  <c r="M16" i="37"/>
  <c r="N16" i="37"/>
  <c r="O16" i="37"/>
  <c r="M17" i="37"/>
  <c r="N17" i="37"/>
  <c r="O17" i="37"/>
  <c r="N9" i="37"/>
  <c r="O9" i="37"/>
  <c r="M9" i="37"/>
  <c r="H10" i="37"/>
  <c r="P10" i="37" s="1"/>
  <c r="H11" i="37"/>
  <c r="H12" i="37"/>
  <c r="P12" i="37" s="1"/>
  <c r="H13" i="37"/>
  <c r="P13" i="37" s="1"/>
  <c r="H14" i="37"/>
  <c r="P14" i="37" s="1"/>
  <c r="H15" i="37"/>
  <c r="H16" i="37"/>
  <c r="H17" i="37"/>
  <c r="P17" i="37" s="1"/>
  <c r="H9" i="37"/>
  <c r="P9" i="37" s="1"/>
  <c r="P10" i="21"/>
  <c r="P11" i="21"/>
  <c r="P12" i="21"/>
  <c r="P13" i="21"/>
  <c r="P14" i="21"/>
  <c r="P15" i="21"/>
  <c r="P16" i="21"/>
  <c r="P17" i="21"/>
  <c r="P18" i="21"/>
  <c r="P19" i="21"/>
  <c r="P20" i="21"/>
  <c r="P21" i="21"/>
  <c r="P22" i="21"/>
  <c r="P23" i="21"/>
  <c r="P24" i="21"/>
  <c r="P25" i="21"/>
  <c r="P26" i="21"/>
  <c r="P10" i="14"/>
  <c r="P11" i="14"/>
  <c r="P12" i="14"/>
  <c r="P13" i="14"/>
  <c r="P14" i="14"/>
  <c r="P15" i="14"/>
  <c r="P16" i="14"/>
  <c r="P17" i="14"/>
  <c r="P18" i="14"/>
  <c r="P19" i="14"/>
  <c r="P9" i="14"/>
  <c r="L11" i="15"/>
  <c r="L12" i="15"/>
  <c r="L13" i="15"/>
  <c r="L14" i="15"/>
  <c r="L15" i="15"/>
  <c r="L16" i="15"/>
  <c r="L17" i="15"/>
  <c r="L18" i="15"/>
  <c r="L19" i="15"/>
  <c r="L10" i="15"/>
  <c r="K11" i="32"/>
  <c r="K12" i="32"/>
  <c r="K13" i="32"/>
  <c r="K14" i="32"/>
  <c r="K15" i="32"/>
  <c r="K16" i="32"/>
  <c r="K17" i="32"/>
  <c r="K10" i="32"/>
  <c r="N10" i="28"/>
  <c r="N11" i="28"/>
  <c r="N12" i="28"/>
  <c r="N13" i="28"/>
  <c r="N14" i="28"/>
  <c r="N15" i="28"/>
  <c r="N16" i="28"/>
  <c r="N17" i="28"/>
  <c r="N18" i="28"/>
  <c r="N19" i="28"/>
  <c r="N20" i="28"/>
  <c r="N21" i="28"/>
  <c r="N22" i="28"/>
  <c r="N23" i="28"/>
  <c r="N9" i="28"/>
  <c r="M10" i="28"/>
  <c r="M11" i="28"/>
  <c r="M12" i="28"/>
  <c r="M13" i="28"/>
  <c r="M14" i="28"/>
  <c r="M15" i="28"/>
  <c r="M16" i="28"/>
  <c r="M17" i="28"/>
  <c r="M18" i="28"/>
  <c r="M21" i="28"/>
  <c r="M22" i="28"/>
  <c r="M23" i="28"/>
  <c r="M9" i="28"/>
  <c r="L9" i="28"/>
  <c r="L10" i="28"/>
  <c r="L11" i="28"/>
  <c r="L12" i="28"/>
  <c r="L13" i="28"/>
  <c r="L14" i="28"/>
  <c r="L15" i="28"/>
  <c r="L16" i="28"/>
  <c r="L17" i="28"/>
  <c r="L18" i="28"/>
  <c r="L19" i="28"/>
  <c r="L20" i="28"/>
  <c r="L21" i="28"/>
  <c r="L22" i="28"/>
  <c r="L23" i="28"/>
  <c r="J10" i="25"/>
  <c r="Q10" i="21"/>
  <c r="Q11" i="21"/>
  <c r="Q12" i="21"/>
  <c r="Q13" i="21"/>
  <c r="Q14" i="21"/>
  <c r="Q15" i="21"/>
  <c r="Q16" i="21"/>
  <c r="Q17" i="21"/>
  <c r="Q18" i="21"/>
  <c r="Q19" i="21"/>
  <c r="Q20" i="21"/>
  <c r="Q21" i="21"/>
  <c r="Q22" i="21"/>
  <c r="Q23" i="21"/>
  <c r="Q24" i="21"/>
  <c r="Q25" i="21"/>
  <c r="Q26" i="21"/>
  <c r="K26" i="21"/>
  <c r="J26" i="21"/>
  <c r="K25" i="21"/>
  <c r="J25" i="21"/>
  <c r="K24" i="21"/>
  <c r="J24" i="21"/>
  <c r="K23" i="21"/>
  <c r="J23" i="21"/>
  <c r="K22" i="21"/>
  <c r="J22" i="21"/>
  <c r="K21" i="21"/>
  <c r="J21" i="21"/>
  <c r="K20" i="21"/>
  <c r="J20" i="21"/>
  <c r="K19" i="21"/>
  <c r="J19" i="21"/>
  <c r="K18" i="21"/>
  <c r="J18" i="21"/>
  <c r="K17" i="21"/>
  <c r="J17" i="21"/>
  <c r="K16" i="21"/>
  <c r="J16" i="21"/>
  <c r="K15" i="21"/>
  <c r="J15" i="21"/>
  <c r="K14" i="21"/>
  <c r="J14" i="21"/>
  <c r="K13" i="21"/>
  <c r="J13" i="21"/>
  <c r="K12" i="21"/>
  <c r="J12" i="21"/>
  <c r="K11" i="21"/>
  <c r="J11" i="21"/>
  <c r="K10" i="21"/>
  <c r="J10" i="21"/>
  <c r="M11" i="21"/>
  <c r="M12" i="21"/>
  <c r="M13" i="21"/>
  <c r="M14" i="21"/>
  <c r="M15" i="21"/>
  <c r="M16" i="21"/>
  <c r="M17" i="21"/>
  <c r="M18" i="21"/>
  <c r="M19" i="21"/>
  <c r="M20" i="21"/>
  <c r="M21" i="21"/>
  <c r="M22" i="21"/>
  <c r="M23" i="21"/>
  <c r="M24" i="21"/>
  <c r="M25" i="21"/>
  <c r="M26" i="21"/>
  <c r="M10" i="21"/>
  <c r="L11" i="21"/>
  <c r="L12" i="21"/>
  <c r="L13" i="21"/>
  <c r="L14" i="21"/>
  <c r="L15" i="21"/>
  <c r="L16" i="21"/>
  <c r="L17" i="21"/>
  <c r="L18" i="21"/>
  <c r="L19" i="21"/>
  <c r="L20" i="21"/>
  <c r="L21" i="21"/>
  <c r="L24" i="21"/>
  <c r="L25" i="21"/>
  <c r="L26" i="21"/>
  <c r="L10" i="21"/>
  <c r="E8" i="7"/>
  <c r="E9" i="7"/>
  <c r="E10" i="7"/>
  <c r="E11" i="7"/>
  <c r="E12" i="7"/>
  <c r="E13" i="7"/>
  <c r="E14" i="7"/>
  <c r="E15" i="7"/>
  <c r="E16" i="7"/>
  <c r="E17" i="7"/>
  <c r="E18" i="7"/>
  <c r="E19" i="7"/>
  <c r="E20" i="7"/>
  <c r="E21" i="7"/>
  <c r="E22" i="7"/>
  <c r="E23" i="7"/>
  <c r="E7" i="7"/>
  <c r="L18" i="13"/>
  <c r="L19" i="13"/>
  <c r="L20" i="13"/>
  <c r="L21" i="13"/>
  <c r="L22" i="13"/>
  <c r="I18" i="13"/>
  <c r="I19" i="13"/>
  <c r="I20" i="13"/>
  <c r="I21" i="13"/>
  <c r="I22" i="13"/>
  <c r="K18" i="13"/>
  <c r="K19" i="13"/>
  <c r="K20" i="13"/>
  <c r="K21" i="13"/>
  <c r="K22" i="13"/>
  <c r="H18" i="13"/>
  <c r="H19" i="13"/>
  <c r="H20" i="13"/>
  <c r="H21" i="13"/>
  <c r="H22" i="13"/>
  <c r="M14" i="30"/>
  <c r="M15" i="30"/>
  <c r="M16" i="30"/>
  <c r="M17" i="30"/>
  <c r="M18" i="30"/>
  <c r="M19" i="30"/>
  <c r="L14" i="30"/>
  <c r="L15" i="30"/>
  <c r="L16" i="30"/>
  <c r="L17" i="30"/>
  <c r="L18" i="30"/>
  <c r="L19" i="30"/>
  <c r="B9" i="30" a="1"/>
  <c r="P15" i="36" l="1"/>
  <c r="Q16" i="38"/>
  <c r="R16" i="38" s="1"/>
  <c r="Q14" i="38"/>
  <c r="R14" i="38" s="1"/>
  <c r="P17" i="36"/>
  <c r="Q17" i="36" s="1"/>
  <c r="Q15" i="38"/>
  <c r="R15" i="38" s="1"/>
  <c r="R17" i="38"/>
  <c r="P14" i="36"/>
  <c r="Q14" i="36" s="1"/>
  <c r="P16" i="36"/>
  <c r="Q16" i="36" s="1"/>
  <c r="Q15" i="36"/>
  <c r="P16" i="37"/>
  <c r="P11" i="37"/>
  <c r="P15" i="37"/>
  <c r="B9" i="30"/>
  <c r="M9" i="30" s="1"/>
  <c r="M10" i="30"/>
  <c r="L10" i="30"/>
  <c r="L11" i="30"/>
  <c r="L12" i="30"/>
  <c r="L13" i="30"/>
  <c r="M11" i="30"/>
  <c r="M13" i="30"/>
  <c r="M12" i="30"/>
  <c r="L9" i="30" l="1"/>
  <c r="K10" i="30" l="1"/>
  <c r="O10" i="30" s="1"/>
  <c r="K11" i="30"/>
  <c r="O11" i="30" s="1"/>
  <c r="K12" i="30"/>
  <c r="O12" i="30" s="1"/>
  <c r="K13" i="30"/>
  <c r="O13" i="30" s="1"/>
  <c r="K14" i="30"/>
  <c r="O14" i="30" s="1"/>
  <c r="K15" i="30"/>
  <c r="O15" i="30" s="1"/>
  <c r="K16" i="30"/>
  <c r="O16" i="30" s="1"/>
  <c r="K17" i="30"/>
  <c r="O17" i="30" s="1"/>
  <c r="K18" i="30"/>
  <c r="O18" i="30" s="1"/>
  <c r="K19" i="30"/>
  <c r="O19" i="30" s="1"/>
  <c r="K9" i="30"/>
  <c r="O9" i="30" s="1"/>
  <c r="J10" i="30"/>
  <c r="N10" i="30" s="1"/>
  <c r="J11" i="30"/>
  <c r="N11" i="30" s="1"/>
  <c r="J12" i="30"/>
  <c r="N12" i="30" s="1"/>
  <c r="J13" i="30"/>
  <c r="N13" i="30" s="1"/>
  <c r="J14" i="30"/>
  <c r="N14" i="30" s="1"/>
  <c r="J15" i="30"/>
  <c r="N15" i="30" s="1"/>
  <c r="J16" i="30"/>
  <c r="N16" i="30" s="1"/>
  <c r="J17" i="30"/>
  <c r="N17" i="30" s="1"/>
  <c r="J18" i="30"/>
  <c r="N18" i="30" s="1"/>
  <c r="J19" i="30"/>
  <c r="N19" i="30" s="1"/>
  <c r="J9" i="30"/>
  <c r="N9" i="30" s="1"/>
  <c r="L8" i="30"/>
  <c r="M8" i="30"/>
  <c r="J18" i="10"/>
  <c r="K18" i="10"/>
  <c r="M18" i="10"/>
  <c r="N18" i="10"/>
  <c r="J19" i="10"/>
  <c r="K19" i="10"/>
  <c r="M19" i="10"/>
  <c r="N19" i="10"/>
  <c r="J20" i="10"/>
  <c r="K20" i="10"/>
  <c r="M20" i="10"/>
  <c r="N20" i="10"/>
  <c r="J21" i="10"/>
  <c r="K21" i="10"/>
  <c r="M21" i="10"/>
  <c r="N21" i="10"/>
  <c r="J22" i="10"/>
  <c r="K22" i="10"/>
  <c r="M22" i="10"/>
  <c r="N22" i="10"/>
  <c r="J23" i="10"/>
  <c r="K23" i="10"/>
  <c r="M23" i="10"/>
  <c r="N23" i="10"/>
  <c r="J24" i="10"/>
  <c r="K24" i="10"/>
  <c r="M24" i="10"/>
  <c r="N24" i="10"/>
  <c r="J25" i="10"/>
  <c r="K25" i="10"/>
  <c r="M25" i="10"/>
  <c r="N25" i="10"/>
  <c r="J26" i="10"/>
  <c r="K26" i="10"/>
  <c r="M26" i="10"/>
  <c r="N26" i="10"/>
  <c r="J27" i="10"/>
  <c r="K27" i="10"/>
  <c r="M27" i="10"/>
  <c r="N27" i="10"/>
  <c r="J28" i="10"/>
  <c r="K28" i="10"/>
  <c r="M28" i="10"/>
  <c r="N28" i="10"/>
  <c r="C33" i="12"/>
  <c r="E33" i="12" a="1"/>
  <c r="E33" i="12" s="1"/>
  <c r="G33" i="12" a="1"/>
  <c r="G33" i="12" s="1"/>
  <c r="I33" i="12" a="1"/>
  <c r="I33" i="12" s="1"/>
  <c r="C34" i="12"/>
  <c r="E34" i="12" a="1"/>
  <c r="E34" i="12" s="1"/>
  <c r="G34" i="12" a="1"/>
  <c r="G34" i="12" s="1"/>
  <c r="I34" i="12" a="1"/>
  <c r="I34" i="12" s="1"/>
  <c r="C35" i="12"/>
  <c r="E35" i="12" a="1"/>
  <c r="E35" i="12" s="1"/>
  <c r="G35" i="12" a="1"/>
  <c r="G35" i="12" s="1"/>
  <c r="I35" i="12" a="1"/>
  <c r="I35" i="12" s="1"/>
  <c r="C36" i="12"/>
  <c r="E36" i="12" a="1"/>
  <c r="E36" i="12" s="1"/>
  <c r="G36" i="12" a="1"/>
  <c r="G36" i="12" s="1"/>
  <c r="I36" i="12" a="1"/>
  <c r="I36" i="12" s="1"/>
  <c r="Q10" i="28"/>
  <c r="R10" i="28"/>
  <c r="K10" i="28"/>
  <c r="K11" i="28"/>
  <c r="K12" i="28"/>
  <c r="K13" i="28"/>
  <c r="K14" i="28"/>
  <c r="K15" i="28"/>
  <c r="K16" i="28"/>
  <c r="K17" i="28"/>
  <c r="K18" i="28"/>
  <c r="K19" i="28"/>
  <c r="K20" i="28"/>
  <c r="K21" i="28"/>
  <c r="K22" i="28"/>
  <c r="K23" i="28"/>
  <c r="K9" i="28"/>
  <c r="J10" i="28"/>
  <c r="O10" i="28" s="1"/>
  <c r="I25" i="21"/>
  <c r="N25" i="21" s="1"/>
  <c r="R25" i="21" s="1"/>
  <c r="I26" i="21"/>
  <c r="N26" i="21" s="1"/>
  <c r="R26" i="21" s="1"/>
  <c r="I10" i="21"/>
  <c r="I30" i="12" a="1"/>
  <c r="I30" i="12" s="1"/>
  <c r="G30" i="12" a="1"/>
  <c r="G30" i="12" s="1"/>
  <c r="E30" i="12" a="1"/>
  <c r="E30" i="12" s="1"/>
  <c r="C30" i="12"/>
  <c r="I29" i="12" a="1"/>
  <c r="I29" i="12" s="1"/>
  <c r="G29" i="12" a="1"/>
  <c r="G29" i="12" s="1"/>
  <c r="E29" i="12" a="1"/>
  <c r="E29" i="12" s="1"/>
  <c r="C29" i="12"/>
  <c r="J21" i="28"/>
  <c r="O21" i="28" s="1"/>
  <c r="J22" i="28"/>
  <c r="O22" i="28" s="1"/>
  <c r="J23" i="28"/>
  <c r="O23" i="28" s="1"/>
  <c r="J9" i="28"/>
  <c r="O9" i="28" s="1"/>
  <c r="I27" i="12" a="1"/>
  <c r="I27" i="12" s="1"/>
  <c r="G27" i="12" a="1"/>
  <c r="G27" i="12" s="1"/>
  <c r="E27" i="12" a="1"/>
  <c r="E27" i="12" s="1"/>
  <c r="C27" i="12"/>
  <c r="I26" i="12" a="1"/>
  <c r="I26" i="12" s="1"/>
  <c r="G26" i="12" a="1"/>
  <c r="G26" i="12" s="1"/>
  <c r="E26" i="12" a="1"/>
  <c r="E26" i="12" s="1"/>
  <c r="C26" i="12"/>
  <c r="E23" i="12" a="1"/>
  <c r="E23" i="12" s="1"/>
  <c r="C23" i="12"/>
  <c r="O7" i="21"/>
  <c r="R23" i="28"/>
  <c r="R22" i="28"/>
  <c r="R21" i="28"/>
  <c r="R20" i="28"/>
  <c r="R19" i="28"/>
  <c r="R18" i="28"/>
  <c r="R17" i="28"/>
  <c r="R16" i="28"/>
  <c r="R15" i="28"/>
  <c r="R14" i="28"/>
  <c r="R13" i="28"/>
  <c r="R12" i="28"/>
  <c r="R11" i="28"/>
  <c r="R9" i="28"/>
  <c r="I12" i="32"/>
  <c r="L12" i="32" s="1"/>
  <c r="I13" i="32"/>
  <c r="L13" i="32" s="1"/>
  <c r="I14" i="32"/>
  <c r="L14" i="32" s="1"/>
  <c r="I15" i="32"/>
  <c r="L15" i="32" s="1"/>
  <c r="I16" i="32"/>
  <c r="L16" i="32" s="1"/>
  <c r="I17" i="32"/>
  <c r="L17" i="32" s="1"/>
  <c r="Q17" i="28"/>
  <c r="Q12" i="28"/>
  <c r="G12" i="12" a="1"/>
  <c r="G12" i="12" s="1"/>
  <c r="G13" i="12" a="1"/>
  <c r="G13" i="12" s="1"/>
  <c r="G14" i="12" a="1"/>
  <c r="G14" i="12" s="1"/>
  <c r="G15" i="12" a="1"/>
  <c r="G15" i="12" s="1"/>
  <c r="G16" i="12" a="1"/>
  <c r="G16" i="12" s="1"/>
  <c r="G17" i="12" a="1"/>
  <c r="G17" i="12" s="1"/>
  <c r="G18" i="12" a="1"/>
  <c r="G18" i="12" s="1"/>
  <c r="G19" i="12" a="1"/>
  <c r="G19" i="12" s="1"/>
  <c r="G20" i="12" a="1"/>
  <c r="G20" i="12" s="1"/>
  <c r="G21" i="12" a="1"/>
  <c r="G21" i="12" s="1"/>
  <c r="G22" i="12" a="1"/>
  <c r="G22" i="12" s="1"/>
  <c r="G23" i="12" a="1"/>
  <c r="G23" i="12" s="1"/>
  <c r="G24" i="12" a="1"/>
  <c r="G24" i="12" s="1"/>
  <c r="G25" i="12" a="1"/>
  <c r="G25" i="12" s="1"/>
  <c r="G28" i="12" a="1"/>
  <c r="G28" i="12" s="1"/>
  <c r="G31" i="12" a="1"/>
  <c r="G31" i="12" s="1"/>
  <c r="G32" i="12" a="1"/>
  <c r="G32" i="12" s="1"/>
  <c r="G11" i="12" a="1"/>
  <c r="G11" i="12" s="1"/>
  <c r="Q23" i="28"/>
  <c r="Q22" i="28"/>
  <c r="Q21" i="28"/>
  <c r="Q20" i="28"/>
  <c r="Q19" i="28"/>
  <c r="Q18" i="28"/>
  <c r="Q16" i="28"/>
  <c r="Q15" i="28"/>
  <c r="Q14" i="28"/>
  <c r="Q13" i="28"/>
  <c r="Q11" i="28"/>
  <c r="Q9" i="28"/>
  <c r="J11" i="25"/>
  <c r="J12" i="25"/>
  <c r="J13" i="25"/>
  <c r="J14" i="25"/>
  <c r="J15" i="25"/>
  <c r="J16" i="25"/>
  <c r="H12" i="25"/>
  <c r="H13" i="25"/>
  <c r="H14" i="25"/>
  <c r="H15" i="25"/>
  <c r="H16" i="25"/>
  <c r="I16" i="12" a="1"/>
  <c r="I16" i="12" s="1"/>
  <c r="E16" i="12" a="1"/>
  <c r="E16" i="12" s="1"/>
  <c r="C16" i="12"/>
  <c r="I13" i="12" a="1"/>
  <c r="I13" i="12" s="1"/>
  <c r="E13" i="12" a="1"/>
  <c r="E13" i="12" s="1"/>
  <c r="C13" i="12"/>
  <c r="Q26" i="10" l="1"/>
  <c r="L25" i="10"/>
  <c r="P21" i="10"/>
  <c r="Q21" i="10"/>
  <c r="Q19" i="10"/>
  <c r="L24" i="10"/>
  <c r="L23" i="10"/>
  <c r="P24" i="10"/>
  <c r="L18" i="10"/>
  <c r="L26" i="10"/>
  <c r="L20" i="10"/>
  <c r="L21" i="10"/>
  <c r="K15" i="25"/>
  <c r="K16" i="25"/>
  <c r="S22" i="28"/>
  <c r="S23" i="28"/>
  <c r="S10" i="28"/>
  <c r="K13" i="25"/>
  <c r="K14" i="25"/>
  <c r="K12" i="25"/>
  <c r="S9" i="28"/>
  <c r="S21" i="28"/>
  <c r="L22" i="10"/>
  <c r="Q20" i="10"/>
  <c r="Q25" i="10"/>
  <c r="P19" i="10"/>
  <c r="L19" i="10"/>
  <c r="L27" i="10"/>
  <c r="L28" i="10"/>
  <c r="R10" i="21"/>
  <c r="N10" i="21"/>
  <c r="N8" i="30"/>
  <c r="O8" i="30"/>
  <c r="O27" i="10"/>
  <c r="O26" i="10"/>
  <c r="O25" i="10"/>
  <c r="O20" i="10"/>
  <c r="P26" i="10"/>
  <c r="O21" i="10"/>
  <c r="O22" i="10"/>
  <c r="Q22" i="10"/>
  <c r="P25" i="10"/>
  <c r="Q28" i="10"/>
  <c r="P18" i="10"/>
  <c r="Q27" i="10"/>
  <c r="P20" i="10"/>
  <c r="Q24" i="10"/>
  <c r="O28" i="10"/>
  <c r="Q18" i="10"/>
  <c r="O23" i="10"/>
  <c r="Q23" i="10"/>
  <c r="P23" i="10"/>
  <c r="O18" i="10"/>
  <c r="P28" i="10"/>
  <c r="O24" i="10"/>
  <c r="O19" i="10"/>
  <c r="P27" i="10"/>
  <c r="P22" i="10"/>
  <c r="I21" i="12" a="1"/>
  <c r="I21" i="12" s="1"/>
  <c r="E21" i="12" a="1"/>
  <c r="E21" i="12" s="1"/>
  <c r="C21" i="12"/>
  <c r="N17" i="32"/>
  <c r="N16" i="32"/>
  <c r="N15" i="32"/>
  <c r="N14" i="32"/>
  <c r="N13" i="32"/>
  <c r="N12" i="32"/>
  <c r="Q12" i="9"/>
  <c r="Q13" i="9"/>
  <c r="Q14" i="9"/>
  <c r="Q15" i="9"/>
  <c r="Q16" i="9"/>
  <c r="Q17" i="9"/>
  <c r="Q18" i="9"/>
  <c r="Q19" i="9"/>
  <c r="Q20" i="9"/>
  <c r="Q21" i="9"/>
  <c r="Q22" i="9"/>
  <c r="Q23" i="9"/>
  <c r="Q24" i="9"/>
  <c r="Q25" i="9"/>
  <c r="Q26" i="9"/>
  <c r="Q27" i="9"/>
  <c r="Q28" i="9"/>
  <c r="Q29" i="9"/>
  <c r="Q30" i="9"/>
  <c r="Q31" i="9"/>
  <c r="Q32" i="9"/>
  <c r="Q33" i="9"/>
  <c r="P12" i="9"/>
  <c r="P13" i="9"/>
  <c r="P14" i="9"/>
  <c r="P15" i="9"/>
  <c r="P16" i="9"/>
  <c r="P17" i="9"/>
  <c r="P18" i="9"/>
  <c r="P19" i="9"/>
  <c r="P20" i="9"/>
  <c r="P21" i="9"/>
  <c r="P22" i="9"/>
  <c r="P23" i="9"/>
  <c r="P24" i="9"/>
  <c r="P25" i="9"/>
  <c r="P26" i="9"/>
  <c r="P27" i="9"/>
  <c r="P28" i="9"/>
  <c r="P29" i="9"/>
  <c r="P30" i="9"/>
  <c r="P31" i="9"/>
  <c r="P32" i="9"/>
  <c r="P33" i="9"/>
  <c r="G29" i="9" a="1"/>
  <c r="G29" i="9" s="1"/>
  <c r="G30" i="9" a="1"/>
  <c r="G30" i="9" s="1"/>
  <c r="G31" i="9" a="1"/>
  <c r="G31" i="9" s="1"/>
  <c r="G32" i="9" a="1"/>
  <c r="G32" i="9" s="1"/>
  <c r="G33" i="9" a="1"/>
  <c r="G33" i="9" s="1"/>
  <c r="E28" i="9" a="1"/>
  <c r="E28" i="9" s="1"/>
  <c r="E29" i="9" a="1"/>
  <c r="E29" i="9" s="1"/>
  <c r="E30" i="9" a="1"/>
  <c r="E30" i="9" s="1"/>
  <c r="E31" i="9" a="1"/>
  <c r="E31" i="9" s="1"/>
  <c r="E32" i="9" a="1"/>
  <c r="E32" i="9" s="1"/>
  <c r="E33" i="9" a="1"/>
  <c r="E33" i="9" s="1"/>
  <c r="C28" i="9"/>
  <c r="C29" i="9"/>
  <c r="C30" i="9"/>
  <c r="C31" i="9"/>
  <c r="C32" i="9"/>
  <c r="C33" i="9"/>
  <c r="I27" i="9" a="1"/>
  <c r="I27" i="9" s="1"/>
  <c r="I28" i="9" a="1"/>
  <c r="I28" i="9" s="1"/>
  <c r="I29" i="9" a="1"/>
  <c r="I29" i="9" s="1"/>
  <c r="I30" i="9" a="1"/>
  <c r="I30" i="9" s="1"/>
  <c r="I31" i="9" a="1"/>
  <c r="I31" i="9" s="1"/>
  <c r="I32" i="9" a="1"/>
  <c r="I32" i="9" s="1"/>
  <c r="I33" i="9" a="1"/>
  <c r="I33" i="9" s="1"/>
  <c r="G27" i="9" a="1"/>
  <c r="G27" i="9" s="1"/>
  <c r="G28" i="9" a="1"/>
  <c r="G28" i="9" s="1"/>
  <c r="I16" i="9" a="1"/>
  <c r="I16" i="9" s="1"/>
  <c r="G16" i="9" a="1"/>
  <c r="G16" i="9" s="1"/>
  <c r="E16" i="9" a="1"/>
  <c r="E16" i="9" s="1"/>
  <c r="C16" i="9"/>
  <c r="I12" i="9" a="1"/>
  <c r="I12" i="9" s="1"/>
  <c r="I13" i="9" a="1"/>
  <c r="I13" i="9" s="1"/>
  <c r="I14" i="9" a="1"/>
  <c r="I14" i="9" s="1"/>
  <c r="I15" i="9" a="1"/>
  <c r="I15" i="9" s="1"/>
  <c r="I17" i="9" a="1"/>
  <c r="I17" i="9" s="1"/>
  <c r="I18" i="9" a="1"/>
  <c r="I18" i="9" s="1"/>
  <c r="I19" i="9" a="1"/>
  <c r="I19" i="9" s="1"/>
  <c r="G18" i="9" a="1"/>
  <c r="G18" i="9" s="1"/>
  <c r="G19" i="9" a="1"/>
  <c r="G19" i="9" s="1"/>
  <c r="E18" i="9" a="1"/>
  <c r="E18" i="9" s="1"/>
  <c r="E19" i="9" a="1"/>
  <c r="E19" i="9" s="1"/>
  <c r="C18" i="9"/>
  <c r="C19" i="9"/>
  <c r="C10" i="7"/>
  <c r="G12" i="9" a="1"/>
  <c r="G12" i="9" s="1"/>
  <c r="G13" i="9" a="1"/>
  <c r="G13" i="9" s="1"/>
  <c r="G14" i="9" a="1"/>
  <c r="G14" i="9" s="1"/>
  <c r="G15" i="9" a="1"/>
  <c r="G15" i="9" s="1"/>
  <c r="G17" i="9" a="1"/>
  <c r="G17" i="9" s="1"/>
  <c r="G20" i="9" a="1"/>
  <c r="G20" i="9" s="1"/>
  <c r="G21" i="9" a="1"/>
  <c r="G21" i="9" s="1"/>
  <c r="G22" i="9" a="1"/>
  <c r="G22" i="9" s="1"/>
  <c r="G23" i="9" a="1"/>
  <c r="G23" i="9" s="1"/>
  <c r="G24" i="9" a="1"/>
  <c r="G24" i="9" s="1"/>
  <c r="G25" i="9" a="1"/>
  <c r="G25" i="9" s="1"/>
  <c r="G26" i="9" a="1"/>
  <c r="G26" i="9" s="1"/>
  <c r="G11" i="9" a="1"/>
  <c r="G11" i="9" s="1"/>
  <c r="I20" i="9" a="1"/>
  <c r="I20" i="9" s="1"/>
  <c r="I21" i="9" a="1"/>
  <c r="I21" i="9" s="1"/>
  <c r="I22" i="9" a="1"/>
  <c r="I22" i="9" s="1"/>
  <c r="I23" i="9" a="1"/>
  <c r="I23" i="9" s="1"/>
  <c r="I24" i="9" a="1"/>
  <c r="I24" i="9" s="1"/>
  <c r="I25" i="9" a="1"/>
  <c r="I25" i="9" s="1"/>
  <c r="I26" i="9" a="1"/>
  <c r="I26" i="9" s="1"/>
  <c r="I11" i="9" a="1"/>
  <c r="I11" i="9" s="1"/>
  <c r="I12" i="12" a="1"/>
  <c r="I12" i="12" s="1"/>
  <c r="I14" i="12" a="1"/>
  <c r="I14" i="12" s="1"/>
  <c r="I15" i="12" a="1"/>
  <c r="I15" i="12" s="1"/>
  <c r="I17" i="12" a="1"/>
  <c r="I17" i="12" s="1"/>
  <c r="I18" i="12" a="1"/>
  <c r="I18" i="12" s="1"/>
  <c r="I19" i="12" a="1"/>
  <c r="I19" i="12" s="1"/>
  <c r="I20" i="12" a="1"/>
  <c r="I20" i="12" s="1"/>
  <c r="I22" i="12" a="1"/>
  <c r="I22" i="12" s="1"/>
  <c r="I23" i="12" a="1"/>
  <c r="I23" i="12" s="1"/>
  <c r="I24" i="12" a="1"/>
  <c r="I24" i="12" s="1"/>
  <c r="I25" i="12" a="1"/>
  <c r="I25" i="12" s="1"/>
  <c r="I28" i="12" a="1"/>
  <c r="I28" i="12" s="1"/>
  <c r="I31" i="12" a="1"/>
  <c r="I31" i="12" s="1"/>
  <c r="I32" i="12" a="1"/>
  <c r="I32" i="12" s="1"/>
  <c r="I11" i="12" a="1"/>
  <c r="I11" i="12" s="1"/>
  <c r="E12" i="12" a="1"/>
  <c r="E12" i="12" s="1"/>
  <c r="E14" i="12" a="1"/>
  <c r="E14" i="12" s="1"/>
  <c r="E15" i="12" a="1"/>
  <c r="E15" i="12" s="1"/>
  <c r="E17" i="12" a="1"/>
  <c r="E17" i="12" s="1"/>
  <c r="E18" i="12" a="1"/>
  <c r="E18" i="12" s="1"/>
  <c r="E19" i="12" a="1"/>
  <c r="E19" i="12" s="1"/>
  <c r="E20" i="12" a="1"/>
  <c r="E20" i="12" s="1"/>
  <c r="E22" i="12" a="1"/>
  <c r="E22" i="12" s="1"/>
  <c r="E24" i="12" a="1"/>
  <c r="E24" i="12" s="1"/>
  <c r="E25" i="12" a="1"/>
  <c r="E25" i="12" s="1"/>
  <c r="E28" i="12" a="1"/>
  <c r="E28" i="12" s="1"/>
  <c r="E31" i="12" a="1"/>
  <c r="E31" i="12" s="1"/>
  <c r="E32" i="12" a="1"/>
  <c r="E32" i="12" s="1"/>
  <c r="E11" i="12" a="1"/>
  <c r="E11" i="12" s="1"/>
  <c r="M12" i="25"/>
  <c r="M13" i="25"/>
  <c r="M14" i="25"/>
  <c r="M15" i="25"/>
  <c r="M16" i="25"/>
  <c r="E12" i="9" a="1"/>
  <c r="E12" i="9" s="1"/>
  <c r="E14" i="9" a="1"/>
  <c r="E14" i="9" s="1"/>
  <c r="E15" i="9" a="1"/>
  <c r="E15" i="9" s="1"/>
  <c r="E17" i="9" a="1"/>
  <c r="E17" i="9" s="1"/>
  <c r="E20" i="9" a="1"/>
  <c r="E20" i="9" s="1"/>
  <c r="E21" i="9" a="1"/>
  <c r="E21" i="9" s="1"/>
  <c r="E22" i="9" a="1"/>
  <c r="E22" i="9" s="1"/>
  <c r="E23" i="9" a="1"/>
  <c r="E23" i="9" s="1"/>
  <c r="E24" i="9" a="1"/>
  <c r="E24" i="9" s="1"/>
  <c r="E25" i="9" a="1"/>
  <c r="E25" i="9" s="1"/>
  <c r="E26" i="9" a="1"/>
  <c r="E26" i="9" s="1"/>
  <c r="C17" i="9"/>
  <c r="B10" i="13" a="1"/>
  <c r="C12" i="9"/>
  <c r="C13" i="9"/>
  <c r="C14" i="9"/>
  <c r="C15" i="9"/>
  <c r="C20" i="9"/>
  <c r="C21" i="9"/>
  <c r="C22" i="9"/>
  <c r="C23" i="9"/>
  <c r="C24" i="9"/>
  <c r="C25" i="9"/>
  <c r="C26" i="9"/>
  <c r="C27" i="9"/>
  <c r="C11" i="9"/>
  <c r="R25" i="10" l="1"/>
  <c r="R26" i="10"/>
  <c r="B26" i="38" a="1"/>
  <c r="B26" i="38" s="1"/>
  <c r="B9" i="38" a="1"/>
  <c r="B19" i="38" a="1"/>
  <c r="B19" i="38" s="1"/>
  <c r="R24" i="10"/>
  <c r="R18" i="10"/>
  <c r="R21" i="10"/>
  <c r="R23" i="10"/>
  <c r="R22" i="10"/>
  <c r="B9" i="10" a="1"/>
  <c r="B9" i="10" s="1"/>
  <c r="R20" i="10"/>
  <c r="R19" i="10"/>
  <c r="R27" i="10"/>
  <c r="I11" i="21"/>
  <c r="I12" i="21"/>
  <c r="I13" i="21"/>
  <c r="I14" i="21"/>
  <c r="N14" i="21" s="1"/>
  <c r="R14" i="21" s="1"/>
  <c r="R28" i="10"/>
  <c r="B9" i="34" a="1"/>
  <c r="I18" i="21"/>
  <c r="I19" i="21"/>
  <c r="I20" i="21"/>
  <c r="I15" i="21"/>
  <c r="I16" i="21"/>
  <c r="I17" i="21"/>
  <c r="I11" i="32"/>
  <c r="J20" i="28"/>
  <c r="I10" i="32"/>
  <c r="J18" i="28"/>
  <c r="J19" i="28"/>
  <c r="J11" i="28"/>
  <c r="J12" i="28"/>
  <c r="J13" i="28"/>
  <c r="J14" i="28"/>
  <c r="J15" i="28"/>
  <c r="J17" i="28"/>
  <c r="O17" i="28" s="1"/>
  <c r="S17" i="28" s="1"/>
  <c r="J16" i="28"/>
  <c r="L11" i="13"/>
  <c r="H12" i="13"/>
  <c r="I14" i="13"/>
  <c r="I15" i="13"/>
  <c r="I16" i="13"/>
  <c r="I17" i="13"/>
  <c r="G19" i="34" s="1"/>
  <c r="L12" i="13"/>
  <c r="H13" i="13"/>
  <c r="H14" i="13"/>
  <c r="H15" i="13"/>
  <c r="L15" i="13"/>
  <c r="K13" i="13"/>
  <c r="K17" i="13"/>
  <c r="I21" i="34" s="1"/>
  <c r="I12" i="13"/>
  <c r="I13" i="13"/>
  <c r="L13" i="13"/>
  <c r="H16" i="13"/>
  <c r="L16" i="13"/>
  <c r="H17" i="13"/>
  <c r="F19" i="34" s="1"/>
  <c r="L17" i="13"/>
  <c r="J20" i="34" s="1"/>
  <c r="K11" i="13"/>
  <c r="K14" i="13"/>
  <c r="L14" i="13"/>
  <c r="K12" i="13"/>
  <c r="H11" i="13"/>
  <c r="K15" i="13"/>
  <c r="K16" i="13"/>
  <c r="I11" i="13"/>
  <c r="B10" i="13"/>
  <c r="H10" i="13" s="1"/>
  <c r="E27" i="9" a="1"/>
  <c r="E27" i="9" s="1"/>
  <c r="I24" i="21" s="1"/>
  <c r="N24" i="21" s="1"/>
  <c r="R24" i="21" s="1"/>
  <c r="E11" i="9" a="1"/>
  <c r="E11" i="9" s="1"/>
  <c r="H13" i="38" l="1"/>
  <c r="I13" i="38"/>
  <c r="N13" i="38"/>
  <c r="L13" i="38"/>
  <c r="O13" i="38"/>
  <c r="K13" i="38"/>
  <c r="M13" i="38" s="1"/>
  <c r="I12" i="38"/>
  <c r="I11" i="38"/>
  <c r="H11" i="38"/>
  <c r="H10" i="38"/>
  <c r="B9" i="38"/>
  <c r="H12" i="38"/>
  <c r="I10" i="38"/>
  <c r="B9" i="36" a="1"/>
  <c r="L12" i="38"/>
  <c r="N11" i="38"/>
  <c r="L10" i="38"/>
  <c r="K10" i="38"/>
  <c r="N12" i="38"/>
  <c r="K12" i="38"/>
  <c r="L11" i="38"/>
  <c r="K11" i="38"/>
  <c r="N10" i="38"/>
  <c r="O11" i="38"/>
  <c r="O10" i="38"/>
  <c r="O12" i="38"/>
  <c r="N9" i="38"/>
  <c r="N13" i="21"/>
  <c r="R13" i="21"/>
  <c r="N12" i="21"/>
  <c r="R12" i="21"/>
  <c r="N11" i="21"/>
  <c r="R11" i="21"/>
  <c r="O15" i="28"/>
  <c r="S15" i="28"/>
  <c r="O16" i="28"/>
  <c r="S16" i="28"/>
  <c r="O11" i="28"/>
  <c r="S11" i="28"/>
  <c r="O14" i="28"/>
  <c r="S14" i="28"/>
  <c r="O19" i="28"/>
  <c r="S19" i="28"/>
  <c r="O12" i="28"/>
  <c r="S12" i="28"/>
  <c r="O18" i="28"/>
  <c r="S18" i="28"/>
  <c r="O13" i="28"/>
  <c r="S13" i="28"/>
  <c r="O20" i="28"/>
  <c r="S20" i="28"/>
  <c r="J24" i="33"/>
  <c r="G21" i="34"/>
  <c r="K24" i="33"/>
  <c r="K10" i="13"/>
  <c r="M19" i="28"/>
  <c r="L10" i="32"/>
  <c r="N10" i="32" s="1"/>
  <c r="M20" i="28"/>
  <c r="L11" i="32"/>
  <c r="N11" i="32" s="1"/>
  <c r="H24" i="33"/>
  <c r="G20" i="34"/>
  <c r="I19" i="34"/>
  <c r="R15" i="21"/>
  <c r="N15" i="21"/>
  <c r="R20" i="21"/>
  <c r="N20" i="21"/>
  <c r="R17" i="21"/>
  <c r="N17" i="21"/>
  <c r="N19" i="21"/>
  <c r="R19" i="21"/>
  <c r="R16" i="21"/>
  <c r="N16" i="21"/>
  <c r="R18" i="21"/>
  <c r="N18" i="21"/>
  <c r="I17" i="34"/>
  <c r="G17" i="34"/>
  <c r="F17" i="34"/>
  <c r="J18" i="34"/>
  <c r="F18" i="34"/>
  <c r="G18" i="34"/>
  <c r="J17" i="34"/>
  <c r="I18" i="34"/>
  <c r="B9" i="34"/>
  <c r="J11" i="34"/>
  <c r="J16" i="34"/>
  <c r="I16" i="34"/>
  <c r="F13" i="34"/>
  <c r="J14" i="34"/>
  <c r="I15" i="34"/>
  <c r="J13" i="34"/>
  <c r="F12" i="34"/>
  <c r="I12" i="34"/>
  <c r="I11" i="34"/>
  <c r="G12" i="34"/>
  <c r="G10" i="34"/>
  <c r="F14" i="34"/>
  <c r="G16" i="34"/>
  <c r="J12" i="34"/>
  <c r="J15" i="34"/>
  <c r="I14" i="34"/>
  <c r="I10" i="34"/>
  <c r="F15" i="34"/>
  <c r="G11" i="34"/>
  <c r="I13" i="34"/>
  <c r="F11" i="34"/>
  <c r="F10" i="34"/>
  <c r="G13" i="34"/>
  <c r="J10" i="34"/>
  <c r="G14" i="34"/>
  <c r="F16" i="34"/>
  <c r="G15" i="34"/>
  <c r="J21" i="34"/>
  <c r="G24" i="33"/>
  <c r="J22" i="33"/>
  <c r="H23" i="33"/>
  <c r="F20" i="34"/>
  <c r="J19" i="34"/>
  <c r="F21" i="34"/>
  <c r="I20" i="34"/>
  <c r="I10" i="13"/>
  <c r="B9" i="33" a="1"/>
  <c r="G23" i="33"/>
  <c r="J23" i="33"/>
  <c r="H22" i="33"/>
  <c r="K22" i="33"/>
  <c r="G22" i="33"/>
  <c r="K23" i="33"/>
  <c r="I21" i="21"/>
  <c r="I22" i="21"/>
  <c r="I23" i="21"/>
  <c r="L10" i="13"/>
  <c r="H10" i="25"/>
  <c r="H11" i="25"/>
  <c r="C16" i="5"/>
  <c r="C17" i="5"/>
  <c r="C18" i="5"/>
  <c r="C17" i="7"/>
  <c r="C18" i="7"/>
  <c r="C15" i="7"/>
  <c r="C13" i="7"/>
  <c r="C11" i="7"/>
  <c r="C8" i="7"/>
  <c r="C18" i="3"/>
  <c r="C19" i="3"/>
  <c r="C20" i="3"/>
  <c r="C12" i="5"/>
  <c r="C13" i="5"/>
  <c r="C14" i="5"/>
  <c r="A8" i="5"/>
  <c r="A9" i="5" s="1"/>
  <c r="A10" i="5" s="1"/>
  <c r="A11" i="5" s="1"/>
  <c r="A12" i="5" s="1"/>
  <c r="A13" i="5" s="1"/>
  <c r="A14" i="5" s="1"/>
  <c r="A15" i="5" s="1"/>
  <c r="A16" i="5" s="1"/>
  <c r="A17" i="5" s="1"/>
  <c r="A18" i="5" s="1"/>
  <c r="A19" i="5" s="1"/>
  <c r="A20" i="5" s="1"/>
  <c r="A21" i="5" s="1"/>
  <c r="A22" i="5" s="1"/>
  <c r="A23" i="5" s="1"/>
  <c r="A24" i="5" s="1"/>
  <c r="A25" i="5" s="1"/>
  <c r="A26" i="5" s="1"/>
  <c r="A27" i="5" s="1"/>
  <c r="A28" i="5" s="1"/>
  <c r="C8" i="5"/>
  <c r="C9" i="5"/>
  <c r="C10" i="5"/>
  <c r="C13" i="3"/>
  <c r="C14" i="3"/>
  <c r="C15" i="3"/>
  <c r="C16" i="3"/>
  <c r="C12" i="12"/>
  <c r="C11" i="3"/>
  <c r="C10" i="3"/>
  <c r="C9" i="3"/>
  <c r="C8" i="3"/>
  <c r="C18" i="12"/>
  <c r="C19" i="12"/>
  <c r="C20" i="12"/>
  <c r="C22" i="12"/>
  <c r="C24" i="12"/>
  <c r="C25" i="12"/>
  <c r="C28" i="12"/>
  <c r="C31" i="12"/>
  <c r="C32" i="12"/>
  <c r="B9" i="24" a="1"/>
  <c r="B9" i="24" s="1"/>
  <c r="P13" i="38" l="1"/>
  <c r="Q13" i="38" s="1"/>
  <c r="J13" i="38"/>
  <c r="K9" i="38"/>
  <c r="I9" i="38"/>
  <c r="H9" i="38"/>
  <c r="G13" i="36"/>
  <c r="H13" i="36"/>
  <c r="A13" i="36"/>
  <c r="P12" i="38"/>
  <c r="H12" i="36"/>
  <c r="H11" i="36"/>
  <c r="H10" i="36"/>
  <c r="G12" i="36"/>
  <c r="G11" i="36"/>
  <c r="G10" i="36"/>
  <c r="A12" i="36"/>
  <c r="B9" i="36"/>
  <c r="A10" i="36"/>
  <c r="A11" i="36"/>
  <c r="J12" i="38"/>
  <c r="J10" i="38"/>
  <c r="P11" i="38"/>
  <c r="P10" i="38"/>
  <c r="M11" i="38"/>
  <c r="M12" i="38"/>
  <c r="M10" i="38"/>
  <c r="J11" i="38"/>
  <c r="O9" i="38"/>
  <c r="P9" i="38" s="1"/>
  <c r="L9" i="38"/>
  <c r="M9" i="38" s="1"/>
  <c r="L23" i="21"/>
  <c r="K11" i="25"/>
  <c r="M11" i="25" s="1"/>
  <c r="L22" i="21"/>
  <c r="K10" i="25"/>
  <c r="M10" i="25" s="1"/>
  <c r="R22" i="21"/>
  <c r="N22" i="21"/>
  <c r="R23" i="21"/>
  <c r="N23" i="21"/>
  <c r="R21" i="21"/>
  <c r="N21" i="21"/>
  <c r="K20" i="33"/>
  <c r="K21" i="33"/>
  <c r="J21" i="33"/>
  <c r="H21" i="33"/>
  <c r="G21" i="33"/>
  <c r="H20" i="33"/>
  <c r="G20" i="33"/>
  <c r="J20" i="33"/>
  <c r="J14" i="33"/>
  <c r="G17" i="33"/>
  <c r="H14" i="33"/>
  <c r="K15" i="33"/>
  <c r="J19" i="33"/>
  <c r="G12" i="33"/>
  <c r="H19" i="33"/>
  <c r="K11" i="33"/>
  <c r="B9" i="33"/>
  <c r="J9" i="33" s="1"/>
  <c r="J13" i="33"/>
  <c r="K12" i="33"/>
  <c r="G15" i="33"/>
  <c r="J15" i="33"/>
  <c r="G18" i="33"/>
  <c r="G16" i="33"/>
  <c r="H10" i="33"/>
  <c r="J16" i="33"/>
  <c r="G10" i="33"/>
  <c r="J12" i="33"/>
  <c r="G11" i="33"/>
  <c r="H15" i="33"/>
  <c r="J11" i="33"/>
  <c r="G14" i="33"/>
  <c r="H18" i="33"/>
  <c r="K19" i="33"/>
  <c r="K16" i="33"/>
  <c r="G19" i="33"/>
  <c r="K18" i="33"/>
  <c r="J18" i="33"/>
  <c r="H12" i="33"/>
  <c r="K14" i="33"/>
  <c r="K17" i="33"/>
  <c r="K10" i="33"/>
  <c r="H16" i="33"/>
  <c r="H17" i="33"/>
  <c r="J17" i="33"/>
  <c r="G13" i="33"/>
  <c r="H11" i="33"/>
  <c r="K13" i="33"/>
  <c r="J10" i="33"/>
  <c r="H13" i="33"/>
  <c r="J9" i="34"/>
  <c r="J8" i="34" s="1"/>
  <c r="I9" i="34"/>
  <c r="I8" i="34" s="1"/>
  <c r="G9" i="34"/>
  <c r="G8" i="34" s="1"/>
  <c r="F9" i="34"/>
  <c r="F8" i="34" s="1"/>
  <c r="K13" i="10"/>
  <c r="M13" i="10"/>
  <c r="K14" i="10"/>
  <c r="M10" i="10"/>
  <c r="N15" i="10"/>
  <c r="N13" i="10"/>
  <c r="J14" i="10"/>
  <c r="M14" i="10"/>
  <c r="N10" i="10"/>
  <c r="J16" i="10"/>
  <c r="K16" i="10"/>
  <c r="M11" i="10"/>
  <c r="M16" i="10"/>
  <c r="N11" i="10"/>
  <c r="N16" i="10"/>
  <c r="J12" i="10"/>
  <c r="J17" i="10"/>
  <c r="N14" i="10"/>
  <c r="J15" i="10"/>
  <c r="J10" i="10"/>
  <c r="K15" i="10"/>
  <c r="J11" i="10"/>
  <c r="K10" i="10"/>
  <c r="M15" i="10"/>
  <c r="K12" i="10"/>
  <c r="K17" i="10"/>
  <c r="M12" i="10"/>
  <c r="K11" i="10"/>
  <c r="N12" i="10"/>
  <c r="M17" i="10"/>
  <c r="J13" i="10"/>
  <c r="N17" i="10"/>
  <c r="P7" i="21"/>
  <c r="K7" i="21"/>
  <c r="R13" i="38" l="1"/>
  <c r="J9" i="38"/>
  <c r="Q12" i="38"/>
  <c r="R12" i="38" s="1"/>
  <c r="H9" i="36"/>
  <c r="G9" i="36"/>
  <c r="A9" i="36"/>
  <c r="Q11" i="38"/>
  <c r="R11" i="38" s="1"/>
  <c r="Q10" i="38"/>
  <c r="R10" i="38" s="1"/>
  <c r="Q9" i="38"/>
  <c r="O14" i="10"/>
  <c r="J8" i="33"/>
  <c r="H9" i="33"/>
  <c r="H8" i="33" s="1"/>
  <c r="K9" i="33"/>
  <c r="K8" i="33" s="1"/>
  <c r="G9" i="33"/>
  <c r="G8" i="33" s="1"/>
  <c r="O11" i="10"/>
  <c r="Q13" i="10"/>
  <c r="O16" i="10"/>
  <c r="G15" i="29"/>
  <c r="J21" i="29"/>
  <c r="F15" i="29"/>
  <c r="O12" i="10"/>
  <c r="Q15" i="10"/>
  <c r="O10" i="10"/>
  <c r="Q12" i="10"/>
  <c r="G21" i="29"/>
  <c r="J19" i="29"/>
  <c r="F18" i="29"/>
  <c r="I15" i="29"/>
  <c r="J15" i="29"/>
  <c r="J12" i="29"/>
  <c r="G18" i="29"/>
  <c r="G13" i="29"/>
  <c r="J18" i="29"/>
  <c r="Q11" i="10"/>
  <c r="G17" i="29"/>
  <c r="L14" i="10"/>
  <c r="O13" i="10"/>
  <c r="O15" i="10"/>
  <c r="I19" i="29"/>
  <c r="L13" i="10"/>
  <c r="P13" i="10"/>
  <c r="G14" i="29"/>
  <c r="I18" i="29"/>
  <c r="L15" i="10"/>
  <c r="P15" i="10"/>
  <c r="P14" i="10"/>
  <c r="J16" i="29"/>
  <c r="G22" i="29"/>
  <c r="I13" i="29"/>
  <c r="J22" i="29"/>
  <c r="F17" i="29"/>
  <c r="O17" i="10"/>
  <c r="F21" i="29"/>
  <c r="J13" i="29"/>
  <c r="I14" i="29"/>
  <c r="G19" i="29"/>
  <c r="L17" i="10"/>
  <c r="P17" i="10"/>
  <c r="I16" i="29"/>
  <c r="I20" i="29"/>
  <c r="J20" i="29"/>
  <c r="Q14" i="10"/>
  <c r="L10" i="10"/>
  <c r="P10" i="10"/>
  <c r="I22" i="29"/>
  <c r="J14" i="29"/>
  <c r="F19" i="29"/>
  <c r="F14" i="29"/>
  <c r="F16" i="29"/>
  <c r="L12" i="10"/>
  <c r="P12" i="10"/>
  <c r="Q17" i="10"/>
  <c r="F20" i="29"/>
  <c r="F22" i="29"/>
  <c r="Q16" i="10"/>
  <c r="J17" i="29"/>
  <c r="F12" i="29"/>
  <c r="J9" i="10"/>
  <c r="E16" i="16"/>
  <c r="D17" i="16"/>
  <c r="E18" i="16"/>
  <c r="E17" i="16"/>
  <c r="D18" i="16"/>
  <c r="E14" i="16"/>
  <c r="D14" i="16"/>
  <c r="D15" i="16"/>
  <c r="E15" i="16"/>
  <c r="D16" i="16"/>
  <c r="G18" i="16"/>
  <c r="G17" i="16"/>
  <c r="H17" i="16"/>
  <c r="H16" i="16"/>
  <c r="G16" i="16"/>
  <c r="H14" i="16"/>
  <c r="H15" i="16"/>
  <c r="H18" i="16"/>
  <c r="G15" i="16"/>
  <c r="G14" i="16"/>
  <c r="G20" i="29"/>
  <c r="L16" i="10"/>
  <c r="P16" i="10"/>
  <c r="Q10" i="10"/>
  <c r="I21" i="29"/>
  <c r="F13" i="29"/>
  <c r="I17" i="29"/>
  <c r="L11" i="10"/>
  <c r="P11" i="10"/>
  <c r="I12" i="29"/>
  <c r="G12" i="29"/>
  <c r="G16" i="29"/>
  <c r="N9" i="10"/>
  <c r="M9" i="10"/>
  <c r="K9" i="10"/>
  <c r="K8" i="30"/>
  <c r="J8" i="30"/>
  <c r="H16" i="19"/>
  <c r="I16" i="19"/>
  <c r="H17" i="19"/>
  <c r="I17" i="19"/>
  <c r="H18" i="19"/>
  <c r="I18" i="19"/>
  <c r="H19" i="19"/>
  <c r="I19" i="19"/>
  <c r="H20" i="19"/>
  <c r="I20" i="19"/>
  <c r="H21" i="19"/>
  <c r="I21" i="19"/>
  <c r="H22" i="19"/>
  <c r="I22" i="19"/>
  <c r="H23" i="19"/>
  <c r="I23" i="19"/>
  <c r="H24" i="19"/>
  <c r="I24" i="19"/>
  <c r="B9" i="19" a="1"/>
  <c r="B9" i="19" s="1"/>
  <c r="G10" i="18"/>
  <c r="G11" i="18"/>
  <c r="G12" i="18"/>
  <c r="G13" i="18"/>
  <c r="G14" i="18"/>
  <c r="G15" i="18"/>
  <c r="G16" i="18"/>
  <c r="G17" i="18"/>
  <c r="G18" i="18"/>
  <c r="G19" i="18"/>
  <c r="G9" i="18"/>
  <c r="C10" i="18"/>
  <c r="C11" i="18"/>
  <c r="C12" i="18"/>
  <c r="C13" i="18"/>
  <c r="C14" i="18"/>
  <c r="C15" i="18"/>
  <c r="C16" i="18"/>
  <c r="C17" i="18"/>
  <c r="C18" i="18"/>
  <c r="C19" i="18"/>
  <c r="E10" i="18"/>
  <c r="E11" i="18"/>
  <c r="E12" i="18"/>
  <c r="E13" i="18"/>
  <c r="E14" i="18"/>
  <c r="E15" i="18"/>
  <c r="E16" i="18"/>
  <c r="E17" i="18"/>
  <c r="E18" i="18"/>
  <c r="E19" i="18"/>
  <c r="E9" i="18"/>
  <c r="C9" i="18"/>
  <c r="C17" i="16"/>
  <c r="C18" i="16"/>
  <c r="P11" i="9"/>
  <c r="C17" i="12"/>
  <c r="D9" i="15"/>
  <c r="I9" i="15"/>
  <c r="C11" i="15"/>
  <c r="C12" i="15"/>
  <c r="C13" i="15"/>
  <c r="C14" i="15"/>
  <c r="C15" i="15"/>
  <c r="C16" i="15"/>
  <c r="C17" i="15"/>
  <c r="C18" i="15"/>
  <c r="C19" i="15"/>
  <c r="C10" i="15"/>
  <c r="O10" i="9"/>
  <c r="N10" i="9"/>
  <c r="F8" i="14"/>
  <c r="O8" i="14"/>
  <c r="U10" i="12"/>
  <c r="T10" i="12"/>
  <c r="C14" i="12"/>
  <c r="C15" i="12"/>
  <c r="C11" i="12"/>
  <c r="C9" i="7"/>
  <c r="C12" i="7"/>
  <c r="C14" i="7"/>
  <c r="C16" i="7"/>
  <c r="C19" i="7"/>
  <c r="C20" i="7"/>
  <c r="C21" i="7"/>
  <c r="C22" i="7"/>
  <c r="C23" i="7"/>
  <c r="C7" i="7"/>
  <c r="E8" i="6"/>
  <c r="E9" i="6"/>
  <c r="E10" i="6"/>
  <c r="E11" i="6"/>
  <c r="E12" i="6"/>
  <c r="E13" i="6"/>
  <c r="E14" i="6"/>
  <c r="E15" i="6"/>
  <c r="E16" i="6"/>
  <c r="E17" i="6"/>
  <c r="E18" i="6"/>
  <c r="E7" i="6"/>
  <c r="C8" i="6"/>
  <c r="C9" i="6"/>
  <c r="C10" i="6"/>
  <c r="C11" i="6"/>
  <c r="C12" i="6"/>
  <c r="C13" i="6"/>
  <c r="C14" i="6"/>
  <c r="C15" i="6"/>
  <c r="C16" i="6"/>
  <c r="C17" i="6"/>
  <c r="C18" i="6"/>
  <c r="C7" i="6"/>
  <c r="C11" i="5"/>
  <c r="C15" i="5"/>
  <c r="C19" i="5"/>
  <c r="C20" i="5"/>
  <c r="C21" i="5"/>
  <c r="C22" i="5"/>
  <c r="C23" i="5"/>
  <c r="C24" i="5"/>
  <c r="C25" i="5"/>
  <c r="C26" i="5"/>
  <c r="C27" i="5"/>
  <c r="C28" i="5"/>
  <c r="C7" i="5"/>
  <c r="C8" i="4"/>
  <c r="C9" i="4"/>
  <c r="C10" i="4"/>
  <c r="C11" i="4"/>
  <c r="C12" i="4"/>
  <c r="C13" i="4"/>
  <c r="C14" i="4"/>
  <c r="C15" i="4"/>
  <c r="C16" i="4"/>
  <c r="C7" i="4"/>
  <c r="C12" i="3"/>
  <c r="C17" i="3"/>
  <c r="C21" i="3"/>
  <c r="C7" i="3"/>
  <c r="R9" i="38" l="1"/>
  <c r="N12" i="36"/>
  <c r="M11" i="36"/>
  <c r="M13" i="36"/>
  <c r="M12" i="36"/>
  <c r="K12" i="36"/>
  <c r="K11" i="36"/>
  <c r="J11" i="36"/>
  <c r="K13" i="36"/>
  <c r="J12" i="36"/>
  <c r="N11" i="36"/>
  <c r="N13" i="36"/>
  <c r="N10" i="36"/>
  <c r="M10" i="36"/>
  <c r="K10" i="36"/>
  <c r="J10" i="36"/>
  <c r="J13" i="36"/>
  <c r="R14" i="10"/>
  <c r="P8" i="14"/>
  <c r="L9" i="15"/>
  <c r="R11" i="10"/>
  <c r="F14" i="16"/>
  <c r="R12" i="10"/>
  <c r="R17" i="10"/>
  <c r="K18" i="29"/>
  <c r="K12" i="29"/>
  <c r="I15" i="16"/>
  <c r="K18" i="16"/>
  <c r="K21" i="29"/>
  <c r="K15" i="29"/>
  <c r="F17" i="16"/>
  <c r="K14" i="29"/>
  <c r="K13" i="29"/>
  <c r="R10" i="10"/>
  <c r="R16" i="10"/>
  <c r="K22" i="29"/>
  <c r="K16" i="29"/>
  <c r="K16" i="16"/>
  <c r="K19" i="29"/>
  <c r="R13" i="10"/>
  <c r="K20" i="29"/>
  <c r="R15" i="10"/>
  <c r="K17" i="16"/>
  <c r="J17" i="16"/>
  <c r="I17" i="16"/>
  <c r="L16" i="29"/>
  <c r="L22" i="29"/>
  <c r="L18" i="29"/>
  <c r="L13" i="29"/>
  <c r="L12" i="29"/>
  <c r="L21" i="29"/>
  <c r="L20" i="29"/>
  <c r="L19" i="29"/>
  <c r="L15" i="29"/>
  <c r="L14" i="29"/>
  <c r="L17" i="29"/>
  <c r="J16" i="16"/>
  <c r="I16" i="16"/>
  <c r="H15" i="29"/>
  <c r="H14" i="29"/>
  <c r="H12" i="29"/>
  <c r="H22" i="29"/>
  <c r="H19" i="29"/>
  <c r="H17" i="29"/>
  <c r="H18" i="29"/>
  <c r="H13" i="29"/>
  <c r="H21" i="29"/>
  <c r="H16" i="29"/>
  <c r="H20" i="29"/>
  <c r="F16" i="16"/>
  <c r="F15" i="16"/>
  <c r="J15" i="16"/>
  <c r="M18" i="29"/>
  <c r="M15" i="29"/>
  <c r="M17" i="29"/>
  <c r="M19" i="29"/>
  <c r="M14" i="29"/>
  <c r="M20" i="29"/>
  <c r="M22" i="29"/>
  <c r="M16" i="29"/>
  <c r="M13" i="29"/>
  <c r="M21" i="29"/>
  <c r="M12" i="29"/>
  <c r="I18" i="16"/>
  <c r="K14" i="16"/>
  <c r="F18" i="16"/>
  <c r="J18" i="16"/>
  <c r="J14" i="16"/>
  <c r="I14" i="16"/>
  <c r="K15" i="16"/>
  <c r="K17" i="29"/>
  <c r="Q9" i="10"/>
  <c r="B9" i="29" a="1"/>
  <c r="I7" i="21"/>
  <c r="J7" i="21"/>
  <c r="N7" i="21"/>
  <c r="I15" i="19"/>
  <c r="H15" i="19"/>
  <c r="I14" i="19"/>
  <c r="H14" i="19"/>
  <c r="P10" i="9"/>
  <c r="L13" i="36" l="1"/>
  <c r="L12" i="36"/>
  <c r="O10" i="36"/>
  <c r="L14" i="16"/>
  <c r="I11" i="36"/>
  <c r="L10" i="36"/>
  <c r="I10" i="36"/>
  <c r="L11" i="36"/>
  <c r="I12" i="36"/>
  <c r="O12" i="36"/>
  <c r="I13" i="36"/>
  <c r="O13" i="36"/>
  <c r="O11" i="36"/>
  <c r="J9" i="36"/>
  <c r="N9" i="36"/>
  <c r="K9" i="36"/>
  <c r="M9" i="36"/>
  <c r="L15" i="16"/>
  <c r="L16" i="16"/>
  <c r="N12" i="29"/>
  <c r="N19" i="29"/>
  <c r="N20" i="29"/>
  <c r="N16" i="29"/>
  <c r="N13" i="29"/>
  <c r="N15" i="29"/>
  <c r="N17" i="29"/>
  <c r="N22" i="29"/>
  <c r="L17" i="16"/>
  <c r="N14" i="29"/>
  <c r="N21" i="29"/>
  <c r="N18" i="29"/>
  <c r="L18" i="16"/>
  <c r="F11" i="29"/>
  <c r="H10" i="29"/>
  <c r="G11" i="29"/>
  <c r="G10" i="29"/>
  <c r="F10" i="29"/>
  <c r="H11" i="29"/>
  <c r="J10" i="29"/>
  <c r="J11" i="29"/>
  <c r="I11" i="29"/>
  <c r="I10" i="29"/>
  <c r="L11" i="29"/>
  <c r="M11" i="29"/>
  <c r="K10" i="29"/>
  <c r="M10" i="29"/>
  <c r="L10" i="29"/>
  <c r="K11" i="29"/>
  <c r="N10" i="29"/>
  <c r="N11" i="29"/>
  <c r="Q8" i="10"/>
  <c r="B9" i="29"/>
  <c r="B8" i="16" a="1"/>
  <c r="K8" i="10"/>
  <c r="L11" i="18"/>
  <c r="L13" i="18"/>
  <c r="H13" i="19" s="1"/>
  <c r="L10" i="18"/>
  <c r="H10" i="19" s="1"/>
  <c r="L12" i="18"/>
  <c r="H12" i="19" s="1"/>
  <c r="M18" i="13"/>
  <c r="M15" i="13"/>
  <c r="J15" i="13"/>
  <c r="M22" i="13"/>
  <c r="M14" i="13"/>
  <c r="M13" i="13"/>
  <c r="M17" i="13"/>
  <c r="M19" i="13"/>
  <c r="M20" i="13"/>
  <c r="M12" i="13"/>
  <c r="M16" i="13"/>
  <c r="J12" i="13"/>
  <c r="L9" i="13"/>
  <c r="M11" i="13"/>
  <c r="M10" i="13"/>
  <c r="K9" i="13"/>
  <c r="I9" i="13"/>
  <c r="H9" i="13"/>
  <c r="M21" i="13"/>
  <c r="J13" i="13"/>
  <c r="J14" i="13"/>
  <c r="J11" i="13"/>
  <c r="J22" i="13"/>
  <c r="J21" i="13"/>
  <c r="J18" i="13"/>
  <c r="J16" i="13"/>
  <c r="J20" i="13"/>
  <c r="J19" i="13"/>
  <c r="J17" i="13"/>
  <c r="J10" i="13"/>
  <c r="I11" i="33" l="1"/>
  <c r="P13" i="36"/>
  <c r="Q13" i="36" s="1"/>
  <c r="I12" i="33"/>
  <c r="P12" i="36"/>
  <c r="Q12" i="36" s="1"/>
  <c r="P10" i="36"/>
  <c r="Q10" i="36" s="1"/>
  <c r="O9" i="36"/>
  <c r="I9" i="36"/>
  <c r="P11" i="36"/>
  <c r="Q11" i="36" s="1"/>
  <c r="L9" i="36"/>
  <c r="L11" i="33"/>
  <c r="L12" i="33"/>
  <c r="L10" i="33"/>
  <c r="I10" i="33"/>
  <c r="I22" i="33"/>
  <c r="I24" i="33"/>
  <c r="H21" i="34"/>
  <c r="I23" i="33"/>
  <c r="H20" i="34"/>
  <c r="H19" i="34"/>
  <c r="H13" i="34"/>
  <c r="H17" i="34"/>
  <c r="H12" i="34"/>
  <c r="H14" i="34"/>
  <c r="H15" i="34"/>
  <c r="H18" i="34"/>
  <c r="H11" i="34"/>
  <c r="H16" i="34"/>
  <c r="H10" i="34"/>
  <c r="I19" i="33"/>
  <c r="I16" i="33"/>
  <c r="I18" i="33"/>
  <c r="I17" i="33"/>
  <c r="I20" i="33"/>
  <c r="I21" i="33"/>
  <c r="I13" i="33"/>
  <c r="I14" i="33"/>
  <c r="I15" i="33"/>
  <c r="K20" i="34"/>
  <c r="L24" i="33"/>
  <c r="K21" i="34"/>
  <c r="K19" i="34"/>
  <c r="L23" i="33"/>
  <c r="L22" i="33"/>
  <c r="K14" i="34"/>
  <c r="K16" i="34"/>
  <c r="K17" i="34"/>
  <c r="K12" i="34"/>
  <c r="K10" i="34"/>
  <c r="K13" i="34"/>
  <c r="K18" i="34"/>
  <c r="K11" i="34"/>
  <c r="K15" i="34"/>
  <c r="L13" i="33"/>
  <c r="L20" i="33"/>
  <c r="L18" i="33"/>
  <c r="L15" i="33"/>
  <c r="L21" i="33"/>
  <c r="L14" i="33"/>
  <c r="L19" i="33"/>
  <c r="L16" i="33"/>
  <c r="L17" i="33"/>
  <c r="L9" i="33"/>
  <c r="K9" i="34"/>
  <c r="H9" i="34"/>
  <c r="I9" i="33"/>
  <c r="E9" i="16"/>
  <c r="D9" i="16"/>
  <c r="D10" i="16"/>
  <c r="E10" i="16"/>
  <c r="D11" i="16"/>
  <c r="D13" i="16"/>
  <c r="E11" i="16"/>
  <c r="D12" i="16"/>
  <c r="E13" i="16"/>
  <c r="E12" i="16"/>
  <c r="H12" i="16"/>
  <c r="G11" i="16"/>
  <c r="H10" i="16"/>
  <c r="G12" i="16"/>
  <c r="H13" i="16"/>
  <c r="G10" i="16"/>
  <c r="H9" i="16"/>
  <c r="H11" i="16"/>
  <c r="G9" i="16"/>
  <c r="G13" i="16"/>
  <c r="F9" i="29"/>
  <c r="G9" i="29"/>
  <c r="G8" i="29" s="1"/>
  <c r="I9" i="29"/>
  <c r="J9" i="29"/>
  <c r="M9" i="29"/>
  <c r="P9" i="10"/>
  <c r="B8" i="16"/>
  <c r="J8" i="10"/>
  <c r="L9" i="10"/>
  <c r="L8" i="10" s="1"/>
  <c r="C15" i="16"/>
  <c r="C16" i="16"/>
  <c r="L9" i="18"/>
  <c r="H9" i="19" s="1"/>
  <c r="H11" i="19"/>
  <c r="C10" i="16"/>
  <c r="C9" i="16"/>
  <c r="C13" i="16"/>
  <c r="C14" i="16"/>
  <c r="C12" i="16"/>
  <c r="C11" i="16"/>
  <c r="J9" i="13"/>
  <c r="M9" i="13"/>
  <c r="R10" i="9"/>
  <c r="S10" i="9"/>
  <c r="T10" i="9"/>
  <c r="U10" i="9"/>
  <c r="V10" i="9"/>
  <c r="W10" i="9"/>
  <c r="X10" i="9"/>
  <c r="Y10" i="9"/>
  <c r="Z10" i="9"/>
  <c r="AA10" i="9"/>
  <c r="AB10" i="9"/>
  <c r="AC10" i="9"/>
  <c r="AD10" i="9"/>
  <c r="AE10" i="9"/>
  <c r="P9" i="36" l="1"/>
  <c r="Q9" i="36" s="1"/>
  <c r="I8" i="33"/>
  <c r="K8" i="34"/>
  <c r="H8" i="34"/>
  <c r="L8" i="33"/>
  <c r="K10" i="16"/>
  <c r="K9" i="16"/>
  <c r="H9" i="29"/>
  <c r="I9" i="16"/>
  <c r="K12" i="16"/>
  <c r="K11" i="16"/>
  <c r="K13" i="16"/>
  <c r="I13" i="16"/>
  <c r="J10" i="16"/>
  <c r="I10" i="16"/>
  <c r="J12" i="16"/>
  <c r="I12" i="16"/>
  <c r="J11" i="16"/>
  <c r="I11" i="16"/>
  <c r="F12" i="16"/>
  <c r="E8" i="16"/>
  <c r="E7" i="16" s="1"/>
  <c r="D8" i="16"/>
  <c r="G8" i="16"/>
  <c r="H8" i="16"/>
  <c r="F13" i="16"/>
  <c r="J13" i="16"/>
  <c r="F11" i="16"/>
  <c r="F10" i="16"/>
  <c r="F9" i="16"/>
  <c r="J9" i="16"/>
  <c r="P8" i="10"/>
  <c r="L9" i="29"/>
  <c r="F8" i="29"/>
  <c r="L17" i="18"/>
  <c r="L15" i="18"/>
  <c r="L16" i="18"/>
  <c r="L18" i="18"/>
  <c r="L19" i="18"/>
  <c r="L14" i="18"/>
  <c r="O9" i="10"/>
  <c r="M8" i="10"/>
  <c r="N8" i="10"/>
  <c r="M9" i="18"/>
  <c r="I9" i="19" s="1"/>
  <c r="H8" i="19"/>
  <c r="M10" i="18"/>
  <c r="I10" i="19" s="1"/>
  <c r="C8" i="16"/>
  <c r="Q10" i="9"/>
  <c r="L9" i="16" l="1"/>
  <c r="L13" i="16"/>
  <c r="L11" i="16"/>
  <c r="L12" i="16"/>
  <c r="L10" i="16"/>
  <c r="R9" i="10"/>
  <c r="K9" i="29"/>
  <c r="J8" i="16"/>
  <c r="K8" i="16"/>
  <c r="J8" i="29"/>
  <c r="I8" i="29"/>
  <c r="H8" i="29"/>
  <c r="L8" i="18"/>
  <c r="H7" i="16"/>
  <c r="O8" i="10"/>
  <c r="M11" i="18"/>
  <c r="I11" i="19" s="1"/>
  <c r="M13" i="18"/>
  <c r="I13" i="19" s="1"/>
  <c r="M12" i="18"/>
  <c r="I12" i="19" s="1"/>
  <c r="M19" i="18"/>
  <c r="M15" i="18"/>
  <c r="M14" i="18"/>
  <c r="M18" i="18"/>
  <c r="M16" i="18"/>
  <c r="M17" i="18"/>
  <c r="I8" i="16"/>
  <c r="G7" i="16"/>
  <c r="D7" i="16"/>
  <c r="F8" i="16"/>
  <c r="F7" i="16" s="1"/>
  <c r="R8" i="10" l="1"/>
  <c r="N9" i="29"/>
  <c r="N8" i="29" s="1"/>
  <c r="L8" i="16"/>
  <c r="L7" i="16" s="1"/>
  <c r="K8" i="29"/>
  <c r="M8" i="29"/>
  <c r="L8" i="29"/>
  <c r="J7" i="16"/>
  <c r="I7" i="16"/>
  <c r="K7" i="16"/>
  <c r="I8" i="19"/>
  <c r="M8" i="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<sst xmlns="http://schemas.openxmlformats.org/spreadsheetml/2006/main" count="1224" uniqueCount="390">
  <si>
    <t>STT</t>
  </si>
  <si>
    <t>N/T/N</t>
  </si>
  <si>
    <t>Số QĐ/CV chi phí hội đồng</t>
  </si>
  <si>
    <t>Loại chứng từ</t>
  </si>
  <si>
    <t>Hình thức thu chi</t>
  </si>
  <si>
    <t>Phiếu chi</t>
  </si>
  <si>
    <t>Tiền mặt</t>
  </si>
  <si>
    <t>Phiếu thu</t>
  </si>
  <si>
    <t>Chuyển khoản</t>
  </si>
  <si>
    <t>CÔNG TY CỔ PHẦN XÂY DỰNG ĐỨC ANH</t>
  </si>
  <si>
    <t>KHU CÔNG NGHIỆP CẨM KHÊ</t>
  </si>
  <si>
    <t>Ghi chú: Dữ liệu màu đen nhạt là dữ liệu nhập thủ công; dữ liệu màu đen đậm là dữ liệu được mang từ bảng khác sang; dữ liệu màu đỏ là kết quả phép tính</t>
  </si>
  <si>
    <t>Số QĐ thu hồi đất gốc</t>
  </si>
  <si>
    <t>N/T/N gốc</t>
  </si>
  <si>
    <t>Số QĐ thu hồi đất Đ.Chỉnh</t>
  </si>
  <si>
    <t xml:space="preserve">N/T/N Đ.Chỉnh </t>
  </si>
  <si>
    <t>N/T/N Đ.Chỉnh</t>
  </si>
  <si>
    <t>Số QĐ thưởng GPMB nhanh Đ.Chỉnh</t>
  </si>
  <si>
    <t>BẢNG TỔNG HỢP GIÁ TRỊ TOÀN BỘ DỰ ÁN</t>
  </si>
  <si>
    <t>Nội dung công việc</t>
  </si>
  <si>
    <t>Năm</t>
  </si>
  <si>
    <t>Số tiền theo quyết định(VNĐ)</t>
  </si>
  <si>
    <t>Tổng giá trị đã chi trả theo phê duyệt</t>
  </si>
  <si>
    <t>Giá trị còn lại phải chi trả theo phê duyệt</t>
  </si>
  <si>
    <t>Tổng dự án</t>
  </si>
  <si>
    <t>Theo phương án bồi thường</t>
  </si>
  <si>
    <t>Theo thưởng GPMB nhanh</t>
  </si>
  <si>
    <t>Theo chi phí hội đồng</t>
  </si>
  <si>
    <t>Chi phí rải thửa, quy chủ</t>
  </si>
  <si>
    <t>Chi ngoài các quyết định</t>
  </si>
  <si>
    <t>Kinh phí tái đinh cư</t>
  </si>
  <si>
    <t>Kinh phí đền bù nghĩa trang</t>
  </si>
  <si>
    <t>Kinh phíGPMB nhanh nghĩa trang</t>
  </si>
  <si>
    <t>Kinh phí hội đồng nghĩa trang</t>
  </si>
  <si>
    <t>Tổng năm 2018</t>
  </si>
  <si>
    <t>Thông tin QĐ phương án bồi thường</t>
  </si>
  <si>
    <t>Họ và tên chủ hộ</t>
  </si>
  <si>
    <t>Xã</t>
  </si>
  <si>
    <t>Khu HC</t>
  </si>
  <si>
    <t>CMT</t>
  </si>
  <si>
    <t>Thông tin chủ hộ</t>
  </si>
  <si>
    <t>LUC</t>
  </si>
  <si>
    <t>LUK</t>
  </si>
  <si>
    <t>BHK</t>
  </si>
  <si>
    <t>NTS</t>
  </si>
  <si>
    <t>RSX</t>
  </si>
  <si>
    <t>ONT</t>
  </si>
  <si>
    <t>CLN</t>
  </si>
  <si>
    <t>CLN (vườn)</t>
  </si>
  <si>
    <t>BCS</t>
  </si>
  <si>
    <t>DTL</t>
  </si>
  <si>
    <t>DGT</t>
  </si>
  <si>
    <t>DCS</t>
  </si>
  <si>
    <t>NTD</t>
  </si>
  <si>
    <t>MNC</t>
  </si>
  <si>
    <t>Thông tin diện tích</t>
  </si>
  <si>
    <t>Số QĐ PABT gốc</t>
  </si>
  <si>
    <t>Tổng diện tích thu hồi</t>
  </si>
  <si>
    <t>Tổng</t>
  </si>
  <si>
    <t>Tổng giá trị</t>
  </si>
  <si>
    <t>Thông tin QĐ thưởng GPMB nhanh</t>
  </si>
  <si>
    <t>Giá trị theo quyết định</t>
  </si>
  <si>
    <t>Giá trị còn lại</t>
  </si>
  <si>
    <t>Số QĐ GPMB nhanh gốc</t>
  </si>
  <si>
    <t>Còn lại</t>
  </si>
  <si>
    <t>Thông tin chứng từ</t>
  </si>
  <si>
    <t>Nội dung thu chi</t>
  </si>
  <si>
    <t>Số tiền chi</t>
  </si>
  <si>
    <t>Số tiền thu</t>
  </si>
  <si>
    <t>Số QĐ thưởng GPMB nhanh gốc</t>
  </si>
  <si>
    <t>Thông tin QĐ PABT</t>
  </si>
  <si>
    <t>Quyết định thu hồi đất gốc</t>
  </si>
  <si>
    <t>N/T/N QĐ phê duyệt PABT gốc</t>
  </si>
  <si>
    <t>N/T/N QĐ thưởng GPMB nhanh gốc</t>
  </si>
  <si>
    <t>N/T/N QĐ thu hồi đất gốc</t>
  </si>
  <si>
    <t>Số QĐ PABT điều chỉnh</t>
  </si>
  <si>
    <t>Tạm ứng tiền mặt</t>
  </si>
  <si>
    <t>Tạm ứng chuyển khoản</t>
  </si>
  <si>
    <t>Chi</t>
  </si>
  <si>
    <t>Thu</t>
  </si>
  <si>
    <t>THEO DÕI TIỀN CHI NGOÀI CHO CÁC HỘ DÂN</t>
  </si>
  <si>
    <t>Thông tin số tiền chứng từ thu chi</t>
  </si>
  <si>
    <t>CMT/CCCD</t>
  </si>
  <si>
    <t>Hình thức thu/chi</t>
  </si>
  <si>
    <t>Hạng mục thu/chi</t>
  </si>
  <si>
    <t>Nội dung chi tiền</t>
  </si>
  <si>
    <t>N/T/N chi tiền</t>
  </si>
  <si>
    <t>Số phiếu thu/chi</t>
  </si>
  <si>
    <t xml:space="preserve">Số tiền đã chi </t>
  </si>
  <si>
    <t>Số tiền phải chi</t>
  </si>
  <si>
    <t>Hạng mục chi</t>
  </si>
  <si>
    <t>Chi ngoài PABT</t>
  </si>
  <si>
    <t>Chi ngoài GPMB nhanh</t>
  </si>
  <si>
    <t>Hỗ trợ di chuyển mồ mả</t>
  </si>
  <si>
    <t>Hỗ trợ thuê nhà</t>
  </si>
  <si>
    <t>Hỗ trợ thiệt hại do thi công</t>
  </si>
  <si>
    <t>Nội dung chuyển tiền</t>
  </si>
  <si>
    <t>N/T/N chuyển tiền</t>
  </si>
  <si>
    <t>Số tiền chuyển</t>
  </si>
  <si>
    <t>Số TK nhận</t>
  </si>
  <si>
    <t>Ngân hàng</t>
  </si>
  <si>
    <t>Số QĐ/CV chuyển tiền</t>
  </si>
  <si>
    <t>Số tiền theo QĐ/CV</t>
  </si>
  <si>
    <t>Thông tin giá trị đã chi trả</t>
  </si>
  <si>
    <t>Thông tin quyết định phương án bồi thường</t>
  </si>
  <si>
    <t>Tổng giá trị thưởng GPMB nhanh</t>
  </si>
  <si>
    <t>Thông tin giá trị bồi thường theo quyết định (VNĐ)</t>
  </si>
  <si>
    <t>Thông tin chi trả theo quyết định</t>
  </si>
  <si>
    <t>Thông tin quyết định</t>
  </si>
  <si>
    <t>Thưởng GPMB nhanh</t>
  </si>
  <si>
    <t>Nguyễn Đức Anh</t>
  </si>
  <si>
    <t>Tiên cát</t>
  </si>
  <si>
    <t>Minh Hà</t>
  </si>
  <si>
    <t>Hoàng Văn Quân</t>
  </si>
  <si>
    <t>123A</t>
  </si>
  <si>
    <t>Nguyễn Đức Tiến</t>
  </si>
  <si>
    <t>Minh Nông</t>
  </si>
  <si>
    <t>Khu 01</t>
  </si>
  <si>
    <t>345C</t>
  </si>
  <si>
    <t>Nguyễn Đức Tú</t>
  </si>
  <si>
    <t>Khu 10</t>
  </si>
  <si>
    <t>456D</t>
  </si>
  <si>
    <t>Nguyễn Thị Hiền</t>
  </si>
  <si>
    <t>Dữu Lâu</t>
  </si>
  <si>
    <t>Khu 08</t>
  </si>
  <si>
    <t>678E</t>
  </si>
  <si>
    <t>Số QĐ thu hồi đất điều chỉnh</t>
  </si>
  <si>
    <t>Giá trị bồi thường</t>
  </si>
  <si>
    <t>Diện tích thu hồi</t>
  </si>
  <si>
    <t>BẢNG CHI TIẾT THU HỒI ĐẤT THEO QUYẾT ĐỊNH</t>
  </si>
  <si>
    <t>BẢNG TỔNG HỢP THU HỒI ĐẤT THEO QUYẾT ĐỊNH</t>
  </si>
  <si>
    <t>BẢNG KẾT HỢP QUYẾT ĐỊNH QUYẾT ĐỊNH PHƯƠNG ÁN BỒI THƯỜNG GỐC VÀ QUYẾT ĐỊNH THU HỒI ĐẤT GỐC</t>
  </si>
  <si>
    <t>GPMB nhanh gốc</t>
  </si>
  <si>
    <t>Xã/phường</t>
  </si>
  <si>
    <t>N/T/N dự kiến chi trả</t>
  </si>
  <si>
    <t>PCTM01</t>
  </si>
  <si>
    <t>Tạm ứng</t>
  </si>
  <si>
    <t>Thông tin giá trị theo quyết định</t>
  </si>
  <si>
    <t>Thông tin giá trị còn lại</t>
  </si>
  <si>
    <t>Giá trị thu hồi còn lại</t>
  </si>
  <si>
    <t>Thu hồi/không thu hồi</t>
  </si>
  <si>
    <t>Hoàn thành thu hồi</t>
  </si>
  <si>
    <t>Số QĐ GPMB nhanh điều chỉnh</t>
  </si>
  <si>
    <t>Tạm ứng tiền bồi thường đất + vật kiến trúc</t>
  </si>
  <si>
    <t>Hạng mục thu chi</t>
  </si>
  <si>
    <t>N/T/N thu/chi</t>
  </si>
  <si>
    <t>Số phiếu thu chi</t>
  </si>
  <si>
    <t>PCTM02</t>
  </si>
  <si>
    <t>PCTM03</t>
  </si>
  <si>
    <t>PCTM04</t>
  </si>
  <si>
    <t>Số quyết định</t>
  </si>
  <si>
    <t>Quyết định PABT gốc</t>
  </si>
  <si>
    <t>Tiên Cát</t>
  </si>
  <si>
    <t>Chi trả tiền bồi thường đất + vật kiến trúc</t>
  </si>
  <si>
    <t>Khu/thôn</t>
  </si>
  <si>
    <t>Số Quyết định</t>
  </si>
  <si>
    <t>Giá trị phải thu hồi</t>
  </si>
  <si>
    <t>Thu hồi</t>
  </si>
  <si>
    <t>Giá trị đã chi trả cuối cùng</t>
  </si>
  <si>
    <t>PCTM05</t>
  </si>
  <si>
    <t>PCTM06</t>
  </si>
  <si>
    <t>PCTM07</t>
  </si>
  <si>
    <t>PCTM08</t>
  </si>
  <si>
    <t>PCTM09</t>
  </si>
  <si>
    <t>PCTM10</t>
  </si>
  <si>
    <t>PCTM11</t>
  </si>
  <si>
    <t>N/T/N dự kiến thu hồi</t>
  </si>
  <si>
    <t>Giá trị thu hồi thực tế</t>
  </si>
  <si>
    <t>PTTM01</t>
  </si>
  <si>
    <t>PTTM02</t>
  </si>
  <si>
    <t>Tạm ứng tiền thưởng giải phóng mặt bằng nhanh</t>
  </si>
  <si>
    <t>PCTM12</t>
  </si>
  <si>
    <t>Chi trả tiền thưởng giải phóng mặt bằng nhanh</t>
  </si>
  <si>
    <t>PCTM13</t>
  </si>
  <si>
    <t>PCTM14</t>
  </si>
  <si>
    <t>PCTM15</t>
  </si>
  <si>
    <t>PCTM16</t>
  </si>
  <si>
    <t>PCTM17</t>
  </si>
  <si>
    <t>PCTM18</t>
  </si>
  <si>
    <t>PCTM19</t>
  </si>
  <si>
    <t>Thu hồi lại tiền thưởng giải phóng mặt bằng nhanh theo biên bản số …....</t>
  </si>
  <si>
    <t>PTTM03</t>
  </si>
  <si>
    <t>Thu hồi lại tiền bồi thường đất + vật kiến trúc theo biên bản số…....</t>
  </si>
  <si>
    <t>PTTM04</t>
  </si>
  <si>
    <t>N/T/N GPMB nhanh gốc</t>
  </si>
  <si>
    <t>N/T/N PABT gốc</t>
  </si>
  <si>
    <t>Thông tin tạm ứng theo quyết định</t>
  </si>
  <si>
    <t>Thông tin tạm ứng còn lại</t>
  </si>
  <si>
    <t>Trạng thái</t>
  </si>
  <si>
    <t>Đánh giá</t>
  </si>
  <si>
    <t>Số tiền dự kiến thu hồi</t>
  </si>
  <si>
    <t>BẢNG THEO DÕI CÁC QUYẾT ĐỊNH GIẢI PHÓNG MẶT BẰNG NHANH ĐIỀU CHỈNH THEO QUYẾT ĐỊNH GIẢI PHÓNG MẶT BẰNG NHANH GỐC</t>
  </si>
  <si>
    <t>DANH MỤC ĐỐI TƯỢNG THEO SỐ QUYẾT ĐỊNH THƯỞNG GIẢI PHÓNG MẶT BẰNG NHANH</t>
  </si>
  <si>
    <t>DỰ KIẾN THU CHI GIẢI PHÓNG MẶT BẰNG NHANH</t>
  </si>
  <si>
    <t xml:space="preserve">DỰ KIẾN THU CHI BỒI THƯỜNG GIẢI PHÓNG MẶT BẰNG </t>
  </si>
  <si>
    <t>BẢNG THEO DÕI CÁC QUYẾT ĐỊNH BỒI THƯỜNG ĐIỀU CHỈNH THEO QUYẾT ĐỊNH BỒI THƯỜNG GỐC</t>
  </si>
  <si>
    <t>BẢNG KẾT HỢP QUYẾT ĐỊNH BỒI THƯỜNG GỐC VÀ QUYẾT ĐỊNH GIẢI PHÓNG MẶT BẰNG NHANH GỐC</t>
  </si>
  <si>
    <t>BẢNG THEO DÕI CÁC QUYẾT ĐỊNH THU HỒI ĐẤT ĐIỀU CHỈNH THEO QUYẾT ĐỊNH GỐC</t>
  </si>
  <si>
    <t>Thông tin đã tạm ứng</t>
  </si>
  <si>
    <t>Số tiền theo QĐ GPMB nhanh</t>
  </si>
  <si>
    <t>Số QĐ bồi thường gốc</t>
  </si>
  <si>
    <t>DANH MỤC ĐỐI TƯỢNG THEO PHƯƠNG ÁN BỒI THƯỜNG</t>
  </si>
  <si>
    <t>BẢNG CHI TIẾT BỒI THƯỜNG, GIẢI PHÓNG MẶT BẰNG NHANH CỦA ĐỐI TƯỢNG THEO QUYẾT ĐỊNH BỒI THƯỜNG + GIẢI PHÓNG MẶT BẰNG NHANH GỐC VÀ ĐIỀU CHỈNH</t>
  </si>
  <si>
    <t>Số quyết định bồi thường gốc</t>
  </si>
  <si>
    <t>N/T/N QĐ bồi thường gốc</t>
  </si>
  <si>
    <t>QĐ thưởng GPMB nhanh gốc</t>
  </si>
  <si>
    <t>N/T/N bồi thường gốc</t>
  </si>
  <si>
    <t>Số QĐ bồi thường điều chỉnh</t>
  </si>
  <si>
    <t>N/T/N bồi thường điều chỉnh</t>
  </si>
  <si>
    <t>N/T/N QĐ bồi thường điều chỉnh</t>
  </si>
  <si>
    <t>N/T/N QĐ GPMB nhanh gốc</t>
  </si>
  <si>
    <t>Số QĐ thưởng GPMB nhanh điều chỉnh</t>
  </si>
  <si>
    <t>N/T/N QĐ GPMB nhanh điều chỉnh</t>
  </si>
  <si>
    <t>Bồi thưởng giải phóng mặt bằng</t>
  </si>
  <si>
    <t>Thưởng giải phóng mặt bằng nhanh</t>
  </si>
  <si>
    <t>BẢNG TỔNG HỢP GIÁ TRỊ BỒI THƯỞNG, THƯỞNG GIẢI PHÓNG MẶT BẰNG NHANH CỦA ĐỐI TƯỢNG THEO QUYẾT ĐỊNH BỒI THƯỜNG, THƯỞNG GIẢI PHÓNG MẶT BẰNG NHANH GỐC VÀ ĐIỀU CHỈNH</t>
  </si>
  <si>
    <t xml:space="preserve">BẢNG THEO DÕI CHI TIẾT THU CHI, TẠM ỨNG BỒI THƯỜNG, THƯỞNG GIẢI PHÓNG MẶT BẰNG NHANH CỦA ĐỐI TƯỢNG THEO QUYẾT ĐỊNH BỒI THƯỜNG, THƯỞNG GIẢI PHÓNG MẶT BẰNG NHANH GỐC VÀ ĐIỀU CHỈNH </t>
  </si>
  <si>
    <t>Số QĐ bồi thương gốc</t>
  </si>
  <si>
    <t>Tổng giá trị bồi thường</t>
  </si>
  <si>
    <t xml:space="preserve">Tổng giá trị </t>
  </si>
  <si>
    <t>Bồi thường còn lại</t>
  </si>
  <si>
    <t>Thưởng giải phóng mặt bằng nhanh còn lại</t>
  </si>
  <si>
    <t>Tổng giá trị còn lại</t>
  </si>
  <si>
    <t>BẢNG TỔNG HỢP GIÁ TRỊ BỒI THƯỜNG, THƯỞNG GIẢI PHÓNG MẶT BẰNG NHANH THEO QUYẾT ĐỊNH BỒI THƯỜNG GỐC</t>
  </si>
  <si>
    <t>BẢNG TỔNG HỢP GIÁ TRỊ BỒI THƯỜNG, THƯỞNG GIẢI PHÓNG MẶT BẰNG NHANH CỦA ĐỐI TƯỢNG CHO TOÀN BỘ DỰ ÁN</t>
  </si>
  <si>
    <t xml:space="preserve">BẢNG TỔNG HỢP DANH SÁCH TẠM ỨNG TIỀN BỒI THƯỜNG, THƯỞNG GIẢI PHÓNG MẶT BẰNG NHANH CỦA ĐỐI TƯỢNG THEO QUYẾT ĐỊNH PHƯƠNG ÁN BỒI THƯỜNG, THƯỞNG GIẢI PHÓNG MẶT BẰNG NHANH </t>
  </si>
  <si>
    <t>Bồi thưởng giải phóng mặt bằng còn lại</t>
  </si>
  <si>
    <t>DANH SÁCH DỰ KIẾN THU HỒI TIỀN BỒI THƯỜNG CỦA ĐỐI TƯỢNG THEO QUYẾT ĐỊNH BỒI THƯỜNG GỐC</t>
  </si>
  <si>
    <t>DANH SÁCH DỰ KIẾN THU HỒI TIỀN THƯỞNG GIẢI PHÓNG MẶT BẰNG NHANH CỦA ĐỐI TƯỢNG THEO QUYẾT ĐỊNH BỒI THƯỜNG, THƯỞNG GIẢI PHÓNG MẶT BĂNG NHANH GỐC</t>
  </si>
  <si>
    <t>Số tiền theo QĐ bồi thường</t>
  </si>
  <si>
    <t>Tổng số tiền đã tạm ứng bồi thường kỳ trước</t>
  </si>
  <si>
    <t>Tổng số tiền đã chi trả bồi thường kỳ trước</t>
  </si>
  <si>
    <t>Số tiền cần phải thu hồi bồi thường</t>
  </si>
  <si>
    <t>Số tiền dự kiến thu hồi tiền bồi thường lần này</t>
  </si>
  <si>
    <t>Giá trị bồi thường còn lại phải trả  kỳ này</t>
  </si>
  <si>
    <t>Số tiền bồi thường dự kiến chi trả</t>
  </si>
  <si>
    <t>Số tiền bồi thường thực nhận kỳ này</t>
  </si>
  <si>
    <t>Số tiền bồi thường thu hồi kỳ này</t>
  </si>
  <si>
    <t>Giá trị bồi thường còn lại phải trả kỳ tiếp theo</t>
  </si>
  <si>
    <t>Số QĐ bồi thường điểu chỉnh</t>
  </si>
  <si>
    <t>Tổng số tiền đã tạm ứng GPMB nhanh kỳ trước</t>
  </si>
  <si>
    <t>Tổng số tiền đã chi trả GPMB nhanh kỳ trước</t>
  </si>
  <si>
    <t>Số tiền cần phải thu hồi GPMB nhanh</t>
  </si>
  <si>
    <t>Số tiền dự kiến thu hồi GPMB nhanh lần này</t>
  </si>
  <si>
    <t>Giá trị GPMB nhanh còn lại phải trả kỳ này</t>
  </si>
  <si>
    <t>Số tiền GPMB nhanh dự kiến chi trả</t>
  </si>
  <si>
    <t>Số tiền GPMB nhanh thực nhận kỳ này</t>
  </si>
  <si>
    <t>Số tiền GPMB nhanh thu hồi kỳ này</t>
  </si>
  <si>
    <t>Giá trị GPMB nhanh còn lại phải trả kỳ tiếp theo</t>
  </si>
  <si>
    <t>Bồi thường giải phóng mặt bằng</t>
  </si>
  <si>
    <t>BẢNG TỔNG HỢP THU, CHI BỒI THƯỜNG, THƯỞNG GIẢI PHÓNG MẶT BẰNG NHANH CỦA ĐỐI TƯỢNG THEO QUYẾT ĐỊNH BỒI THƯỜNG, THƯỞNG GIẢI PHÓNG MẶT BẰNG NHANH GỐC</t>
  </si>
  <si>
    <t>BẢNG TỔNG HỢP THU, CHI BỒI THƯỜNG, THƯỞNG GIẢI PHÓNG MẶT BẰNG NHANH CỦA ĐỐI TƯỢNG THEO QUYẾT ĐỊNH BỒI THƯỜNG GỐC</t>
  </si>
  <si>
    <t>BẢNG TỔNG HỢP THU, CHI BỒI THƯỜNG, THƯỞNG GIẢI PHÓNG MẶT BẰNG NHANH CỦA ĐỐI TƯỢNG CHO TOÀN BỘ DỰ ÁN</t>
  </si>
  <si>
    <t>Nội dung theo công văn hội đồng chuyển (thể hiện rõ các hạng mục phải chi cho công văn)</t>
  </si>
  <si>
    <t>BẢNG THEO DÕI THU, CHI CHO HỘI ĐỒNG BỒI THƯỜNG</t>
  </si>
  <si>
    <t>Chi ngoài tiền bồi thường giải phóng mặt bằng</t>
  </si>
  <si>
    <t>Chi ngoài tiền thưởng giải phóng mặt bằng nhanh</t>
  </si>
  <si>
    <t>QĐ bồi thường gốc</t>
  </si>
  <si>
    <t>PCTM01/2024</t>
  </si>
  <si>
    <t>DANH MỤC PHƯƠNG ÁN BỒI THƯỜNG</t>
  </si>
  <si>
    <t>Bồi thường thiệt hại do thi công</t>
  </si>
  <si>
    <t>Bồi thưởng giải phóng mặt bằng kỳ trước</t>
  </si>
  <si>
    <t>Bồi thưởng giải phóng mặt bằng kỳ này</t>
  </si>
  <si>
    <t>Thông tin giá trị đã chi trả bồi thường kỳ trước</t>
  </si>
  <si>
    <t>Tạm ứng bồi thường</t>
  </si>
  <si>
    <t>Thu hồi bồi thường</t>
  </si>
  <si>
    <t>Thông tin giá trị đã chi trả bồi thường kỳ này</t>
  </si>
  <si>
    <t>Thông tin giá trị đã chi trả bồi thường cuối kỳ</t>
  </si>
  <si>
    <t>Bồi thưởng giải phóng mặt bằng cuối kỳ này</t>
  </si>
  <si>
    <t>BẢNG TỔNG HỢP GIÁ TRỊ BỒI THƯỜNG THEO QUYẾT ĐỊNH BỒI THƯỜNG GỐC</t>
  </si>
  <si>
    <t>Giá trị bồi thường GPMB đã chi trả kỳ trước</t>
  </si>
  <si>
    <t>Bồi thưởng GPMB kỳ trước</t>
  </si>
  <si>
    <t>Thu hồi bồi thưởng GPMB kỳ trước</t>
  </si>
  <si>
    <t>Bồi thưởng GPMB kỳ này</t>
  </si>
  <si>
    <t>Thu hồi bồi thưởng GPMB kỳ này</t>
  </si>
  <si>
    <t>Giá trị bồi thường GPMB đã chi trả kỳ này</t>
  </si>
  <si>
    <t>Thưởng GPMB nhanh kỳ trước</t>
  </si>
  <si>
    <t>Thu  hồi GPMB nhanh kỳ trước</t>
  </si>
  <si>
    <t>Giá trị thưởng GPMB nhanh đã chi trả kỳ trước</t>
  </si>
  <si>
    <t>Thưởng GPMB nhanh kỳ này</t>
  </si>
  <si>
    <t>Thu  hồi GPMB nhanh kỳ này</t>
  </si>
  <si>
    <t>Giá trị thưởng GPMB nhanh đã chi trả kỳ này</t>
  </si>
  <si>
    <t>Tổng giá trị bồi thưởng GPMB cuối kỳ</t>
  </si>
  <si>
    <t>Giá trị bồi thưởng GPMB còn lại</t>
  </si>
  <si>
    <t>Tổng giá trị thưởng GPMB nhanh cuối kỳ</t>
  </si>
  <si>
    <t>Giá trị thưởng GPMB nhanh còn lại</t>
  </si>
  <si>
    <t>Thưởng GPMB nhanh cuối kỳ</t>
  </si>
  <si>
    <t>Giá trị bồi thường đã chi trả thực tế</t>
  </si>
  <si>
    <t>Bồi thường có quyết định</t>
  </si>
  <si>
    <t>BẢNG TỔNG HỢP THU, CHI, TẠM ỨNG BỒI THƯỜNG THEO PHƯƠNG ÁN BỒI THƯỜNG GỐC</t>
  </si>
  <si>
    <t>Thông tin giá trị đã chi trả thưởng GHPMB nhanh kỳ trước</t>
  </si>
  <si>
    <t>Thông tin giá trị đã chi trả thưởng GPMB nhanh kỳ này</t>
  </si>
  <si>
    <t>Thông tin giá trị đã chi trả thưởng GPMB nhanh cuối kỳ</t>
  </si>
  <si>
    <t>Thưởng GPMB nhanh có quyết định</t>
  </si>
  <si>
    <t>Tạm ứng thưởng GPMB nhanh</t>
  </si>
  <si>
    <t>Thu hồi thưởng GPMB nhanh</t>
  </si>
  <si>
    <t>Giá trị thưởng GPMB nhanh đã chi trả thực tế</t>
  </si>
  <si>
    <t>Từ ngày:</t>
  </si>
  <si>
    <t>Đến ngày:</t>
  </si>
  <si>
    <t>Phải tách thành 2 vì ngày giữa QĐ gốc và QĐ điều chỉnh khác nhau</t>
  </si>
  <si>
    <t>BT_DM_QDBoiThuongGoc</t>
  </si>
  <si>
    <t>NTTPABTGoc</t>
  </si>
  <si>
    <t>SoQDBTGoc</t>
  </si>
  <si>
    <t>Table Name</t>
  </si>
  <si>
    <t>BT_DM_QDThuhoiDatGoc</t>
  </si>
  <si>
    <t>SoQDTHDatGoc</t>
  </si>
  <si>
    <t>NTN</t>
  </si>
  <si>
    <t>BT_DM_QDTGPMBNhanhGoc</t>
  </si>
  <si>
    <t>SoQDThuongGPMBNhanhGoc</t>
  </si>
  <si>
    <t>NTN GPMBNhanhGoc</t>
  </si>
  <si>
    <t>BT_DM_QDCVChiPhiHoiDong</t>
  </si>
  <si>
    <t>SoQDCVChiPhiHoiDong</t>
  </si>
  <si>
    <t>BT_DM_LoaiChungTu</t>
  </si>
  <si>
    <t>LoaiChungTu</t>
  </si>
  <si>
    <t>BT_DM_HTThuChi</t>
  </si>
  <si>
    <t>HinhThucthuChi</t>
  </si>
  <si>
    <t>HangMucChi</t>
  </si>
  <si>
    <t>BT_DM_DTTPANBT</t>
  </si>
  <si>
    <t>BT_DM_DTTSQDThuongGPMB</t>
  </si>
  <si>
    <t>BT_QDPABTKHopTHoiDat</t>
  </si>
  <si>
    <t>BT_QDPABTKHopGPMBNhanh</t>
  </si>
  <si>
    <t>Id_DM_QDThuhoiDatGoc</t>
  </si>
  <si>
    <t>Id_DM_QDCVChiPhiHoiDong</t>
  </si>
  <si>
    <t>Id_DM_QDBoiThuongGoc</t>
  </si>
  <si>
    <t>Id_DM_QDTGPMBNhanhGoc</t>
  </si>
  <si>
    <t>BT_QDPABTDChinh</t>
  </si>
  <si>
    <t>SoQDBTDieuChinh</t>
  </si>
  <si>
    <t>NTNBTDieuChinh</t>
  </si>
  <si>
    <t>SoQDThuongGPMBNhanhDC</t>
  </si>
  <si>
    <t>NTNDieuChinh</t>
  </si>
  <si>
    <t>BT_QDGPMBNhanhDChinh</t>
  </si>
  <si>
    <t>BT_QDTHoiDatDChinh</t>
  </si>
  <si>
    <t>SoQDTHDDieuChinh</t>
  </si>
  <si>
    <t>BT_CTietPAnBThuong</t>
  </si>
  <si>
    <t>Id_QDPABTDChinh</t>
  </si>
  <si>
    <t>Ghi chú</t>
  </si>
  <si>
    <t>Lấy Id trong DM</t>
  </si>
  <si>
    <t>Id_QDPABTKHopGPMBNhanh</t>
  </si>
  <si>
    <t>Id_QDGPMBNhanhDChinh</t>
  </si>
  <si>
    <t>lấy id trong sheet 2. theo cột Tạm Ứng</t>
  </si>
  <si>
    <t>Id trong sheett 2.1 theo cột Tạm Ứng</t>
  </si>
  <si>
    <t>Id trong sheet 1. theo cột Tạm Ứng</t>
  </si>
  <si>
    <t>HoVaTenChuHo</t>
  </si>
  <si>
    <t>XaPhuong</t>
  </si>
  <si>
    <t>KhuThon</t>
  </si>
  <si>
    <t>CCCD</t>
  </si>
  <si>
    <t>BTGPMB</t>
  </si>
  <si>
    <t>ThuongGPMBNhanh</t>
  </si>
  <si>
    <t>TongGiaTri</t>
  </si>
  <si>
    <t>TongDTThuHoi</t>
  </si>
  <si>
    <t>CLNV</t>
  </si>
  <si>
    <t>NTNDuKienTHuHoi</t>
  </si>
  <si>
    <t>Lấy Id sheet DM đối tượng PABT theo  Số QĐ PABT gốc</t>
  </si>
  <si>
    <t>STDKTH</t>
  </si>
  <si>
    <t>TrangThai</t>
  </si>
  <si>
    <t>DanhGia</t>
  </si>
  <si>
    <t>BT_DSHoThuHoiPABT</t>
  </si>
  <si>
    <t>BT_DSHoThuHoiGPMBNhanh</t>
  </si>
  <si>
    <t>ID_DM_QDBoiThuongGoc</t>
  </si>
  <si>
    <t>Sheet 1 theo  Id_DM_QDBoiThuongGoc</t>
  </si>
  <si>
    <t>DM_DTTPANBT</t>
  </si>
  <si>
    <t>BT_ThongTinChuHo</t>
  </si>
  <si>
    <t>Id_ThongTinChuHo</t>
  </si>
  <si>
    <t>Id_BT_ThongTinChuHo</t>
  </si>
  <si>
    <t>STBTDKCT</t>
  </si>
  <si>
    <t>BT_DKienThuChiPABT</t>
  </si>
  <si>
    <t>BT_DKThuChiGPMBNhanh</t>
  </si>
  <si>
    <t>NTNDuKienChiTra</t>
  </si>
  <si>
    <t>Lấy từ sheet 2</t>
  </si>
  <si>
    <t>Id Danh mục</t>
  </si>
  <si>
    <t>Lấy từ sheet 1</t>
  </si>
  <si>
    <t>Lấy từ sheet 2.1</t>
  </si>
  <si>
    <t>Id_DM_LoaiChungTu</t>
  </si>
  <si>
    <t>BT_DM_HMThuChi</t>
  </si>
  <si>
    <t>Id_DM_HTThuChi</t>
  </si>
  <si>
    <t>Id_HMThuChi</t>
  </si>
  <si>
    <t>NoiDungThuChi</t>
  </si>
  <si>
    <t>NTNThuChi</t>
  </si>
  <si>
    <t>SoPhieuThuChi</t>
  </si>
  <si>
    <t>SoTienChi</t>
  </si>
  <si>
    <t>SoTienThu</t>
  </si>
  <si>
    <t>Lấy sheet DM PABT</t>
  </si>
  <si>
    <t>BT_ThuChiKPHDong</t>
  </si>
  <si>
    <t>SoTienTheoQDCV</t>
  </si>
  <si>
    <t>NoiDungChuyenTien</t>
  </si>
  <si>
    <t>NTNChuyenTien</t>
  </si>
  <si>
    <t>SoTienChuyen</t>
  </si>
  <si>
    <t>STKNhan</t>
  </si>
  <si>
    <t>NganHang</t>
  </si>
  <si>
    <t>GiaTriConLai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</si>
</sst>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_(* \(#,##0\);_(* &quot;-&quot;??_);_(@_)"/>
    <numFmt numFmtId="166" formatCode="_(* #,##0.0_);_(* \(#,##0.0\);_(* &quot;-&quot;??_);_(@_)"/>
    <numFmt numFmtId="167" formatCode="_-* #,##0.00\ _₫_-;\-* #,##0.00\ _₫_-;_-* &quot;-&quot;??\ _₫_-;_-@_-"/>
    <numFmt numFmtId="168" formatCode="_-* #,##0_-;\-* #,##0_-;_-* &quot;-&quot;??_-;_-@_-"/>
  </numFmts>
  <fonts count="23" x14ac:knownFonts="1">
    <font>
      <sz val="11"/>
      <color theme="1"/>
      <name val="Aptos Narrow"/>
      <family val="2"/>
      <charset val="163"/>
      <scheme val="minor"/>
    </font>
    <font>
      <sz val="11"/>
      <color theme="1"/>
      <name val="Aptos Narrow"/>
      <family val="2"/>
      <charset val="163"/>
      <scheme val="minor"/>
    </font>
    <font>
      <sz val="11"/>
      <color theme="1"/>
      <name val="Aptos Narrow"/>
      <family val="2"/>
      <scheme val="minor"/>
    </font>
    <font>
      <b/>
      <sz val="12"/>
      <color theme="1"/>
      <name val="Times New Roman"/>
      <family val="1"/>
    </font>
    <font>
      <sz val="12"/>
      <color theme="1"/>
      <name val="Times New Roman"/>
      <family val="1"/>
    </font>
    <font>
      <b/>
      <sz val="12"/>
      <color rgb="FFFF0000"/>
      <name val="Times New Roman"/>
      <family val="1"/>
    </font>
    <font>
      <b/>
      <sz val="12"/>
      <name val="Times New Roman"/>
      <family val="1"/>
    </font>
    <font>
      <sz val="12"/>
      <name val="Times New Roman"/>
      <family val="1"/>
    </font>
    <font>
      <sz val="10"/>
      <name val="Arial"/>
      <family val="2"/>
    </font>
    <font>
      <sz val="12"/>
      <color rgb="FFFF0000"/>
      <name val="Times New Roman"/>
      <family val="1"/>
    </font>
    <font>
      <sz val="10"/>
      <color theme="1"/>
      <name val="Times New Roman"/>
      <family val="1"/>
    </font>
    <font>
      <b/>
      <sz val="10"/>
      <name val="Times New Roman"/>
      <family val="1"/>
    </font>
    <font>
      <b/>
      <sz val="10"/>
      <color theme="1"/>
      <name val="Times New Roman"/>
      <family val="1"/>
    </font>
    <font>
      <sz val="10"/>
      <color rgb="FFFF0000"/>
      <name val="Times New Roman"/>
      <family val="1"/>
    </font>
    <font>
      <b/>
      <sz val="10"/>
      <color rgb="FFFF0000"/>
      <name val="Times New Roman"/>
      <family val="1"/>
    </font>
    <font>
      <sz val="8"/>
      <name val="Aptos Narrow"/>
      <family val="2"/>
      <charset val="163"/>
      <scheme val="minor"/>
    </font>
    <font>
      <sz val="10"/>
      <name val="Times New Roman"/>
      <family val="1"/>
    </font>
    <font>
      <b/>
      <sz val="11"/>
      <color theme="1"/>
      <name val="Times New Roman"/>
      <family val="1"/>
    </font>
    <font>
      <sz val="11"/>
      <color theme="1"/>
      <name val="Times New Roman"/>
      <family val="1"/>
    </font>
    <font>
      <b/>
      <sz val="11"/>
      <color rgb="FFFF0000"/>
      <name val="Times New Roman"/>
      <family val="1"/>
    </font>
    <font>
      <b/>
      <sz val="11"/>
      <name val="Times New Roman"/>
      <family val="1"/>
    </font>
    <font>
      <sz val="11"/>
      <color rgb="FFFF0000"/>
      <name val="Times New Roman"/>
      <family val="1"/>
    </font>
    <font>
      <sz val="11"/>
      <name val="Times New Roman"/>
      <family val="1"/>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0">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166" fontId="7" fillId="0" borderId="0" applyFont="0" applyFill="0" applyBorder="0" applyAlignment="0" applyProtection="0"/>
    <xf numFmtId="0" fontId="8" fillId="0" borderId="0"/>
    <xf numFmtId="164" fontId="8" fillId="0" borderId="0" applyFont="0" applyFill="0" applyBorder="0" applyAlignment="0" applyProtection="0"/>
    <xf numFmtId="0" fontId="2" fillId="0" borderId="0"/>
    <xf numFmtId="0" fontId="2" fillId="0" borderId="0"/>
    <xf numFmtId="0" fontId="2" fillId="0" borderId="0"/>
    <xf numFmtId="0" fontId="8" fillId="0" borderId="0"/>
    <xf numFmtId="0" fontId="2" fillId="0" borderId="0"/>
    <xf numFmtId="0" fontId="1" fillId="0" borderId="0"/>
    <xf numFmtId="167" fontId="1" fillId="0" borderId="0" applyFont="0" applyFill="0" applyBorder="0" applyAlignment="0" applyProtection="0"/>
    <xf numFmtId="0" fontId="1" fillId="0" borderId="0"/>
    <xf numFmtId="164" fontId="2" fillId="0" borderId="0" applyFont="0" applyFill="0" applyBorder="0" applyAlignment="0" applyProtection="0"/>
    <xf numFmtId="164" fontId="8" fillId="0" borderId="0" applyFont="0" applyFill="0" applyBorder="0" applyAlignment="0" applyProtection="0"/>
    <xf numFmtId="0" fontId="1" fillId="0" borderId="0"/>
    <xf numFmtId="167" fontId="1" fillId="0" borderId="0" applyFont="0" applyFill="0" applyBorder="0" applyAlignment="0" applyProtection="0"/>
    <xf numFmtId="0" fontId="1" fillId="0" borderId="0"/>
  </cellStyleXfs>
  <cellXfs count="208">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14" fontId="4" fillId="0" borderId="0" xfId="0" applyNumberFormat="1" applyFont="1" applyAlignment="1">
      <alignment horizontal="center" vertical="center" wrapText="1"/>
    </xf>
    <xf numFmtId="166" fontId="11" fillId="0" borderId="1" xfId="1" applyNumberFormat="1" applyFont="1" applyFill="1" applyBorder="1" applyAlignment="1">
      <alignment horizontal="center" vertical="center" wrapText="1"/>
    </xf>
    <xf numFmtId="0" fontId="11" fillId="0" borderId="1" xfId="1" applyNumberFormat="1" applyFont="1" applyFill="1" applyBorder="1" applyAlignment="1">
      <alignment horizontal="center" vertical="center" wrapText="1"/>
    </xf>
    <xf numFmtId="14" fontId="11" fillId="0" borderId="1" xfId="1"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14" fontId="12" fillId="0" borderId="1" xfId="0" applyNumberFormat="1" applyFont="1" applyBorder="1" applyAlignment="1">
      <alignment horizontal="center" vertical="center" wrapText="1"/>
    </xf>
    <xf numFmtId="164" fontId="11" fillId="0" borderId="1" xfId="1" applyFont="1" applyFill="1" applyBorder="1" applyAlignment="1">
      <alignment horizontal="center" vertical="center" wrapText="1"/>
    </xf>
    <xf numFmtId="164" fontId="14" fillId="2" borderId="1" xfId="1" applyFont="1" applyFill="1" applyBorder="1" applyAlignment="1">
      <alignment horizontal="center" vertical="center" wrapText="1"/>
    </xf>
    <xf numFmtId="164" fontId="14" fillId="0" borderId="1" xfId="1" applyFont="1" applyBorder="1" applyAlignment="1">
      <alignment horizontal="center" vertical="center" wrapText="1"/>
    </xf>
    <xf numFmtId="0" fontId="12" fillId="0" borderId="0" xfId="0" applyFont="1" applyAlignment="1">
      <alignment horizontal="center" vertical="center" wrapText="1"/>
    </xf>
    <xf numFmtId="0" fontId="14" fillId="0" borderId="0" xfId="0" applyFont="1" applyAlignment="1">
      <alignment horizontal="center" vertical="center" wrapText="1"/>
    </xf>
    <xf numFmtId="164" fontId="14" fillId="0" borderId="0" xfId="1" applyFont="1" applyAlignment="1">
      <alignment horizontal="center" vertical="center" wrapText="1"/>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16" fillId="0" borderId="0" xfId="0" applyFont="1" applyAlignment="1">
      <alignment horizontal="center" vertical="center" wrapText="1"/>
    </xf>
    <xf numFmtId="164" fontId="13" fillId="0" borderId="0" xfId="1" applyFont="1" applyFill="1" applyAlignment="1">
      <alignment horizontal="center" vertical="center" wrapText="1"/>
    </xf>
    <xf numFmtId="14" fontId="3" fillId="0" borderId="0" xfId="0" applyNumberFormat="1" applyFont="1" applyAlignment="1">
      <alignment horizontal="center" vertical="center" wrapText="1"/>
    </xf>
    <xf numFmtId="0" fontId="6" fillId="0" borderId="0" xfId="0" applyFont="1" applyAlignment="1">
      <alignment horizontal="center" vertical="center" wrapText="1"/>
    </xf>
    <xf numFmtId="166" fontId="14" fillId="0" borderId="0" xfId="1" applyNumberFormat="1" applyFont="1" applyFill="1" applyAlignment="1">
      <alignment horizontal="center" vertical="center" wrapText="1"/>
    </xf>
    <xf numFmtId="164" fontId="12" fillId="0" borderId="0" xfId="1" applyFont="1" applyAlignment="1">
      <alignment horizontal="center" vertical="center" wrapText="1"/>
    </xf>
    <xf numFmtId="164" fontId="4" fillId="0" borderId="0" xfId="1" applyFont="1" applyAlignment="1">
      <alignment horizontal="center" vertical="center" wrapText="1"/>
    </xf>
    <xf numFmtId="164" fontId="3" fillId="0" borderId="0" xfId="1" applyFont="1" applyAlignment="1">
      <alignment horizontal="center" vertical="center" wrapText="1"/>
    </xf>
    <xf numFmtId="14" fontId="12" fillId="0" borderId="0" xfId="0" applyNumberFormat="1" applyFont="1" applyAlignment="1">
      <alignment horizontal="center" vertical="center" wrapText="1"/>
    </xf>
    <xf numFmtId="164" fontId="10" fillId="0" borderId="0" xfId="1" applyFont="1" applyAlignment="1">
      <alignment horizontal="center" vertical="center" wrapText="1"/>
    </xf>
    <xf numFmtId="164" fontId="12" fillId="0" borderId="1" xfId="1" applyFont="1" applyBorder="1" applyAlignment="1">
      <alignment horizontal="center" vertical="center" wrapText="1"/>
    </xf>
    <xf numFmtId="0" fontId="11" fillId="0" borderId="0" xfId="0" applyFont="1" applyAlignment="1">
      <alignment horizontal="center" vertical="center" wrapText="1"/>
    </xf>
    <xf numFmtId="0" fontId="14" fillId="2" borderId="1" xfId="0" applyFont="1" applyFill="1" applyBorder="1" applyAlignment="1">
      <alignment horizontal="center" vertical="center" wrapText="1"/>
    </xf>
    <xf numFmtId="14" fontId="14"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5" fillId="0" borderId="0" xfId="0" applyFont="1" applyAlignment="1">
      <alignment horizontal="center" vertical="center" wrapText="1"/>
    </xf>
    <xf numFmtId="164" fontId="16" fillId="0" borderId="1" xfId="1" applyFont="1" applyBorder="1" applyAlignment="1">
      <alignment horizontal="center" vertical="center" wrapText="1"/>
    </xf>
    <xf numFmtId="164" fontId="16" fillId="0" borderId="1" xfId="1" applyFont="1" applyFill="1" applyBorder="1" applyAlignment="1">
      <alignment horizontal="center" vertical="center" wrapText="1"/>
    </xf>
    <xf numFmtId="168" fontId="14" fillId="2" borderId="1" xfId="1" applyNumberFormat="1" applyFont="1" applyFill="1" applyBorder="1" applyAlignment="1">
      <alignment horizontal="center" vertical="center" wrapText="1"/>
    </xf>
    <xf numFmtId="168" fontId="10" fillId="0" borderId="1" xfId="1" applyNumberFormat="1" applyFont="1" applyBorder="1" applyAlignment="1">
      <alignment horizontal="center" vertical="center" wrapText="1"/>
    </xf>
    <xf numFmtId="168" fontId="12" fillId="0" borderId="1" xfId="1" applyNumberFormat="1" applyFont="1" applyBorder="1" applyAlignment="1">
      <alignment horizontal="center" vertical="center" wrapText="1"/>
    </xf>
    <xf numFmtId="168" fontId="14" fillId="0" borderId="1" xfId="1" applyNumberFormat="1" applyFont="1" applyBorder="1" applyAlignment="1">
      <alignment horizontal="center" vertical="center" wrapText="1"/>
    </xf>
    <xf numFmtId="0" fontId="14" fillId="0" borderId="0" xfId="0" applyFont="1" applyAlignment="1">
      <alignment vertical="center" wrapText="1"/>
    </xf>
    <xf numFmtId="0" fontId="12" fillId="0" borderId="0" xfId="0" applyFont="1" applyAlignment="1">
      <alignment vertical="center" wrapText="1"/>
    </xf>
    <xf numFmtId="168" fontId="3" fillId="0" borderId="0" xfId="1" applyNumberFormat="1" applyFont="1" applyAlignment="1">
      <alignment horizontal="center" vertical="center" wrapText="1"/>
    </xf>
    <xf numFmtId="168" fontId="6" fillId="0" borderId="0" xfId="1" applyNumberFormat="1" applyFont="1" applyAlignment="1">
      <alignment horizontal="center" vertical="center" wrapText="1"/>
    </xf>
    <xf numFmtId="168" fontId="4" fillId="0" borderId="0" xfId="1" applyNumberFormat="1" applyFont="1" applyAlignment="1">
      <alignment horizontal="center" vertical="center" wrapText="1"/>
    </xf>
    <xf numFmtId="164" fontId="11" fillId="0" borderId="1" xfId="1" applyFont="1" applyBorder="1" applyAlignment="1">
      <alignment horizontal="center" vertical="center" wrapText="1"/>
    </xf>
    <xf numFmtId="164" fontId="7" fillId="0" borderId="0" xfId="1" applyFont="1" applyFill="1" applyAlignment="1">
      <alignment horizontal="center" vertical="center" wrapText="1"/>
    </xf>
    <xf numFmtId="0" fontId="3" fillId="0" borderId="0" xfId="0" applyFont="1" applyAlignment="1">
      <alignment vertical="center" wrapText="1"/>
    </xf>
    <xf numFmtId="168" fontId="12" fillId="0" borderId="0" xfId="1" applyNumberFormat="1" applyFont="1" applyAlignment="1">
      <alignment horizontal="center" vertical="center" wrapText="1"/>
    </xf>
    <xf numFmtId="168" fontId="10" fillId="0" borderId="0" xfId="1" applyNumberFormat="1" applyFont="1" applyAlignment="1">
      <alignment horizontal="center" vertical="center" wrapText="1"/>
    </xf>
    <xf numFmtId="165" fontId="14" fillId="0" borderId="0" xfId="1" applyNumberFormat="1" applyFont="1" applyAlignment="1">
      <alignment horizontal="center" vertical="center" wrapText="1"/>
    </xf>
    <xf numFmtId="165" fontId="5" fillId="0" borderId="0" xfId="1" applyNumberFormat="1" applyFont="1" applyAlignment="1">
      <alignment horizontal="center" vertical="center" wrapText="1"/>
    </xf>
    <xf numFmtId="165" fontId="4" fillId="0" borderId="0" xfId="1" applyNumberFormat="1" applyFont="1" applyAlignment="1">
      <alignment horizontal="center" vertical="center" wrapText="1"/>
    </xf>
    <xf numFmtId="168" fontId="11" fillId="0" borderId="0" xfId="1" applyNumberFormat="1" applyFont="1" applyAlignment="1">
      <alignment horizontal="center" vertical="center" wrapText="1"/>
    </xf>
    <xf numFmtId="168" fontId="12" fillId="0" borderId="0" xfId="1" applyNumberFormat="1" applyFont="1" applyAlignment="1">
      <alignment vertical="center" wrapText="1"/>
    </xf>
    <xf numFmtId="14" fontId="3" fillId="0" borderId="0" xfId="0" applyNumberFormat="1" applyFont="1" applyAlignment="1">
      <alignment vertical="center" wrapText="1"/>
    </xf>
    <xf numFmtId="14" fontId="4" fillId="0" borderId="0" xfId="1" applyNumberFormat="1" applyFont="1" applyAlignment="1">
      <alignment horizontal="center" vertical="center" wrapText="1"/>
    </xf>
    <xf numFmtId="164" fontId="10" fillId="0" borderId="1" xfId="1" applyFont="1" applyBorder="1" applyAlignment="1">
      <alignment horizontal="center" vertical="center" wrapText="1"/>
    </xf>
    <xf numFmtId="14" fontId="4" fillId="0" borderId="0" xfId="1" applyNumberFormat="1" applyFont="1" applyFill="1" applyAlignment="1">
      <alignment horizontal="center" vertical="center" wrapText="1"/>
    </xf>
    <xf numFmtId="164" fontId="3" fillId="0" borderId="0" xfId="1" applyFont="1" applyFill="1" applyAlignment="1">
      <alignment horizontal="center" vertical="center" wrapText="1"/>
    </xf>
    <xf numFmtId="166" fontId="6" fillId="0" borderId="0" xfId="1" applyNumberFormat="1" applyFont="1" applyFill="1" applyAlignment="1">
      <alignment horizontal="center" vertical="center" wrapText="1"/>
    </xf>
    <xf numFmtId="14" fontId="7" fillId="0" borderId="0" xfId="0" applyNumberFormat="1" applyFont="1" applyAlignment="1">
      <alignment horizontal="center" vertical="center" wrapText="1"/>
    </xf>
    <xf numFmtId="0" fontId="14" fillId="2" borderId="4" xfId="0" applyFont="1" applyFill="1" applyBorder="1" applyAlignment="1">
      <alignment vertical="center" wrapText="1"/>
    </xf>
    <xf numFmtId="0" fontId="10" fillId="0" borderId="0" xfId="0" applyFont="1" applyAlignment="1">
      <alignment horizontal="center" vertical="center"/>
    </xf>
    <xf numFmtId="0" fontId="12" fillId="0" borderId="0" xfId="0" applyFont="1" applyAlignment="1">
      <alignment horizontal="center" vertical="center"/>
    </xf>
    <xf numFmtId="14" fontId="10" fillId="0" borderId="1" xfId="0" applyNumberFormat="1" applyFont="1" applyBorder="1" applyAlignment="1">
      <alignment horizontal="center" vertical="center" wrapText="1"/>
    </xf>
    <xf numFmtId="166" fontId="5" fillId="0" borderId="0" xfId="1" applyNumberFormat="1" applyFont="1" applyFill="1" applyAlignment="1">
      <alignment horizontal="center" vertical="center" wrapText="1"/>
    </xf>
    <xf numFmtId="165" fontId="12" fillId="0" borderId="0" xfId="1" applyNumberFormat="1" applyFont="1" applyAlignment="1">
      <alignment horizontal="center" vertical="center" wrapText="1"/>
    </xf>
    <xf numFmtId="165" fontId="12" fillId="0" borderId="1" xfId="1" applyNumberFormat="1" applyFont="1" applyBorder="1" applyAlignment="1">
      <alignment horizontal="center" vertical="center" wrapText="1"/>
    </xf>
    <xf numFmtId="165" fontId="11" fillId="0" borderId="1" xfId="1" applyNumberFormat="1" applyFont="1" applyBorder="1" applyAlignment="1">
      <alignment horizontal="center" vertical="center" wrapText="1"/>
    </xf>
    <xf numFmtId="0" fontId="16" fillId="0" borderId="1" xfId="0" applyFont="1" applyBorder="1" applyAlignment="1">
      <alignment horizontal="center" vertical="center" wrapText="1"/>
    </xf>
    <xf numFmtId="0" fontId="13" fillId="0" borderId="0" xfId="0" applyFont="1" applyAlignment="1">
      <alignment horizontal="center" vertical="center" wrapText="1"/>
    </xf>
    <xf numFmtId="0" fontId="12" fillId="0" borderId="9"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0" xfId="0" applyFont="1" applyBorder="1" applyAlignment="1">
      <alignment horizontal="center" vertical="center" wrapText="1"/>
    </xf>
    <xf numFmtId="0" fontId="10" fillId="0" borderId="2" xfId="0" applyFont="1" applyBorder="1" applyAlignment="1">
      <alignment horizontal="center" vertical="center" wrapText="1"/>
    </xf>
    <xf numFmtId="14" fontId="10" fillId="0" borderId="3" xfId="0" applyNumberFormat="1" applyFont="1" applyBorder="1" applyAlignment="1">
      <alignment horizontal="center" vertical="center" wrapText="1"/>
    </xf>
    <xf numFmtId="0" fontId="10" fillId="0" borderId="1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2" xfId="0" applyFont="1" applyBorder="1" applyAlignment="1">
      <alignment horizontal="center" vertical="center" wrapText="1"/>
    </xf>
    <xf numFmtId="0" fontId="12" fillId="0" borderId="5" xfId="9" applyFont="1" applyBorder="1" applyAlignment="1">
      <alignment horizontal="center" vertical="center" wrapText="1"/>
    </xf>
    <xf numFmtId="0" fontId="10" fillId="0" borderId="0" xfId="9" applyFont="1" applyAlignment="1">
      <alignment horizontal="center" vertical="center" wrapText="1"/>
    </xf>
    <xf numFmtId="0" fontId="10" fillId="0" borderId="4" xfId="9" applyFont="1" applyBorder="1" applyAlignment="1">
      <alignment horizontal="center" vertical="center" wrapText="1"/>
    </xf>
    <xf numFmtId="0" fontId="10" fillId="0" borderId="6" xfId="9" applyFont="1" applyBorder="1" applyAlignment="1">
      <alignment horizontal="center" vertical="center" wrapText="1"/>
    </xf>
    <xf numFmtId="0" fontId="17" fillId="0" borderId="1" xfId="0" applyFont="1" applyBorder="1" applyAlignment="1">
      <alignment horizontal="center" vertical="center" wrapText="1"/>
    </xf>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7" fillId="0" borderId="0" xfId="0" applyFont="1" applyAlignment="1">
      <alignment horizontal="center" vertical="center" wrapText="1"/>
    </xf>
    <xf numFmtId="0" fontId="14" fillId="2" borderId="1" xfId="0" applyFont="1" applyFill="1" applyBorder="1" applyAlignment="1">
      <alignment vertical="center" wrapText="1"/>
    </xf>
    <xf numFmtId="0" fontId="12" fillId="0" borderId="0" xfId="1" applyNumberFormat="1" applyFont="1" applyAlignment="1">
      <alignment vertical="center" wrapText="1"/>
    </xf>
    <xf numFmtId="168" fontId="10" fillId="0" borderId="0" xfId="1" applyNumberFormat="1" applyFont="1" applyAlignment="1">
      <alignment vertical="center" wrapText="1"/>
    </xf>
    <xf numFmtId="168" fontId="12" fillId="0" borderId="0" xfId="1" applyNumberFormat="1" applyFont="1" applyFill="1" applyAlignment="1">
      <alignment vertical="center" wrapText="1"/>
    </xf>
    <xf numFmtId="14" fontId="12" fillId="0" borderId="0" xfId="1" applyNumberFormat="1" applyFont="1" applyAlignment="1">
      <alignment horizontal="center" vertical="center" wrapText="1"/>
    </xf>
    <xf numFmtId="0" fontId="12" fillId="0" borderId="0" xfId="1" applyNumberFormat="1" applyFont="1" applyAlignment="1">
      <alignment horizontal="center" vertical="center" wrapText="1"/>
    </xf>
    <xf numFmtId="168" fontId="12" fillId="0" borderId="0" xfId="1" applyNumberFormat="1" applyFont="1" applyFill="1" applyAlignment="1">
      <alignment horizontal="center" vertical="center" wrapText="1"/>
    </xf>
    <xf numFmtId="0" fontId="12" fillId="0" borderId="1" xfId="1" applyNumberFormat="1" applyFont="1" applyBorder="1" applyAlignment="1">
      <alignment horizontal="center" vertical="center" wrapText="1"/>
    </xf>
    <xf numFmtId="168" fontId="12" fillId="0" borderId="1" xfId="1" applyNumberFormat="1" applyFont="1" applyFill="1" applyBorder="1" applyAlignment="1">
      <alignment horizontal="center" vertical="center" wrapText="1"/>
    </xf>
    <xf numFmtId="0" fontId="14" fillId="2" borderId="1" xfId="1" applyNumberFormat="1" applyFont="1" applyFill="1" applyBorder="1" applyAlignment="1">
      <alignment horizontal="center" vertical="center" wrapText="1"/>
    </xf>
    <xf numFmtId="168" fontId="12" fillId="0" borderId="0" xfId="1" applyNumberFormat="1" applyFont="1" applyAlignment="1" applyProtection="1">
      <alignment horizontal="center" vertical="center" wrapText="1"/>
    </xf>
    <xf numFmtId="168" fontId="11" fillId="0" borderId="1" xfId="1" applyNumberFormat="1" applyFont="1" applyBorder="1" applyAlignment="1">
      <alignment horizontal="center" vertical="center" wrapText="1"/>
    </xf>
    <xf numFmtId="168" fontId="16" fillId="0" borderId="0" xfId="1" applyNumberFormat="1" applyFont="1" applyAlignment="1">
      <alignment horizontal="center" vertical="center" wrapText="1"/>
    </xf>
    <xf numFmtId="168" fontId="16" fillId="0" borderId="1" xfId="1" applyNumberFormat="1" applyFont="1" applyBorder="1" applyAlignment="1">
      <alignment horizontal="center" vertical="center" wrapText="1"/>
    </xf>
    <xf numFmtId="168" fontId="12" fillId="3" borderId="1" xfId="1" applyNumberFormat="1" applyFont="1" applyFill="1" applyBorder="1" applyAlignment="1">
      <alignment horizontal="center" vertical="center" wrapText="1"/>
    </xf>
    <xf numFmtId="168" fontId="17" fillId="0" borderId="1" xfId="1" applyNumberFormat="1" applyFont="1" applyBorder="1" applyAlignment="1">
      <alignment horizontal="center" vertical="center" wrapText="1"/>
    </xf>
    <xf numFmtId="168" fontId="17" fillId="0" borderId="0" xfId="1" applyNumberFormat="1" applyFont="1" applyAlignment="1">
      <alignment horizontal="center" vertical="center" wrapText="1"/>
    </xf>
    <xf numFmtId="0" fontId="19" fillId="0" borderId="0" xfId="0" applyFont="1" applyAlignment="1">
      <alignment horizontal="center" vertical="center" wrapText="1"/>
    </xf>
    <xf numFmtId="0" fontId="20" fillId="0" borderId="1" xfId="0" applyFont="1" applyBorder="1" applyAlignment="1">
      <alignment horizontal="center" vertical="center" wrapText="1"/>
    </xf>
    <xf numFmtId="168" fontId="10" fillId="0" borderId="0" xfId="1" applyNumberFormat="1" applyFont="1" applyAlignment="1">
      <alignment horizontal="center" vertical="center"/>
    </xf>
    <xf numFmtId="168" fontId="14" fillId="0" borderId="0" xfId="1" applyNumberFormat="1" applyFont="1" applyAlignment="1">
      <alignment horizontal="center" vertical="center" wrapText="1"/>
    </xf>
    <xf numFmtId="0" fontId="12" fillId="3" borderId="1" xfId="0" applyFont="1" applyFill="1" applyBorder="1" applyAlignment="1">
      <alignment horizontal="center" vertical="center" wrapText="1"/>
    </xf>
    <xf numFmtId="168" fontId="5" fillId="0" borderId="0" xfId="1" applyNumberFormat="1" applyFont="1" applyAlignment="1">
      <alignment horizontal="center" vertical="center" wrapText="1"/>
    </xf>
    <xf numFmtId="168" fontId="7" fillId="0" borderId="0" xfId="1" applyNumberFormat="1" applyFont="1" applyAlignment="1">
      <alignment horizontal="center" vertical="center" wrapText="1"/>
    </xf>
    <xf numFmtId="168" fontId="7" fillId="0" borderId="0" xfId="1" applyNumberFormat="1" applyFont="1" applyFill="1" applyAlignment="1">
      <alignment horizontal="center" vertical="center" wrapText="1"/>
    </xf>
    <xf numFmtId="168" fontId="9" fillId="0" borderId="0" xfId="1" applyNumberFormat="1" applyFont="1" applyFill="1" applyAlignment="1">
      <alignment horizontal="center" vertical="center" wrapText="1"/>
    </xf>
    <xf numFmtId="168" fontId="11" fillId="3" borderId="1" xfId="1" applyNumberFormat="1" applyFont="1" applyFill="1" applyBorder="1" applyAlignment="1">
      <alignment horizontal="center" vertical="center" wrapText="1"/>
    </xf>
    <xf numFmtId="166" fontId="14" fillId="2" borderId="1" xfId="1" applyNumberFormat="1" applyFont="1" applyFill="1" applyBorder="1" applyAlignment="1">
      <alignment vertical="center" wrapText="1"/>
    </xf>
    <xf numFmtId="166" fontId="14" fillId="2" borderId="1" xfId="1" applyNumberFormat="1" applyFont="1" applyFill="1" applyBorder="1" applyAlignment="1">
      <alignment horizontal="center" vertical="center" wrapText="1"/>
    </xf>
    <xf numFmtId="168" fontId="14" fillId="2" borderId="1" xfId="1" applyNumberFormat="1" applyFont="1" applyFill="1" applyBorder="1" applyAlignment="1">
      <alignment vertical="center" wrapText="1"/>
    </xf>
    <xf numFmtId="14" fontId="11" fillId="0" borderId="0" xfId="1" applyNumberFormat="1" applyFont="1" applyFill="1" applyAlignment="1">
      <alignment horizontal="center" vertical="center" wrapText="1"/>
    </xf>
    <xf numFmtId="14" fontId="12" fillId="0" borderId="0" xfId="0" applyNumberFormat="1" applyFont="1" applyAlignment="1">
      <alignment vertical="center" wrapText="1"/>
    </xf>
    <xf numFmtId="14" fontId="14" fillId="2" borderId="1" xfId="0" applyNumberFormat="1" applyFont="1" applyFill="1" applyBorder="1" applyAlignment="1">
      <alignment vertical="center" wrapText="1"/>
    </xf>
    <xf numFmtId="168" fontId="11" fillId="0" borderId="1" xfId="1" applyNumberFormat="1" applyFont="1" applyFill="1" applyBorder="1" applyAlignment="1">
      <alignment horizontal="center" vertical="center" wrapText="1"/>
    </xf>
    <xf numFmtId="168" fontId="10" fillId="0" borderId="1" xfId="1" applyNumberFormat="1" applyFont="1" applyFill="1" applyBorder="1" applyAlignment="1">
      <alignment horizontal="center" vertical="center" wrapText="1"/>
    </xf>
    <xf numFmtId="168" fontId="14" fillId="0" borderId="1" xfId="1" applyNumberFormat="1" applyFont="1" applyFill="1" applyBorder="1" applyAlignment="1">
      <alignment horizontal="center" vertical="center" wrapText="1"/>
    </xf>
    <xf numFmtId="168" fontId="17" fillId="0" borderId="1" xfId="1" applyNumberFormat="1" applyFont="1" applyFill="1" applyBorder="1" applyAlignment="1">
      <alignment horizontal="center" vertical="center" wrapText="1"/>
    </xf>
    <xf numFmtId="168" fontId="19" fillId="0" borderId="0" xfId="1" applyNumberFormat="1" applyFont="1" applyAlignment="1">
      <alignment horizontal="center" vertical="center" wrapText="1"/>
    </xf>
    <xf numFmtId="168" fontId="20" fillId="3" borderId="1" xfId="1" applyNumberFormat="1" applyFont="1" applyFill="1" applyBorder="1" applyAlignment="1">
      <alignment horizontal="center" vertical="center" wrapText="1"/>
    </xf>
    <xf numFmtId="168" fontId="20" fillId="0" borderId="1" xfId="1" applyNumberFormat="1" applyFont="1" applyBorder="1" applyAlignment="1">
      <alignment horizontal="center" vertical="center" wrapText="1"/>
    </xf>
    <xf numFmtId="168" fontId="19" fillId="0" borderId="1" xfId="1" applyNumberFormat="1" applyFont="1" applyBorder="1" applyAlignment="1">
      <alignment horizontal="center" vertical="center" wrapText="1"/>
    </xf>
    <xf numFmtId="14" fontId="18" fillId="0" borderId="1" xfId="0" applyNumberFormat="1" applyFont="1" applyBorder="1" applyAlignment="1">
      <alignment horizontal="center" vertical="center" wrapText="1"/>
    </xf>
    <xf numFmtId="168" fontId="12" fillId="0" borderId="1" xfId="1" applyNumberFormat="1" applyFont="1" applyFill="1" applyBorder="1" applyAlignment="1" applyProtection="1">
      <alignment horizontal="center" vertical="center" wrapText="1"/>
    </xf>
    <xf numFmtId="168" fontId="16" fillId="0" borderId="1" xfId="1" applyNumberFormat="1" applyFont="1" applyFill="1" applyBorder="1" applyAlignment="1">
      <alignment horizontal="center" vertical="center" wrapText="1"/>
    </xf>
    <xf numFmtId="0" fontId="21" fillId="0" borderId="0" xfId="0" applyFont="1" applyAlignment="1">
      <alignment horizontal="center" vertical="center" wrapText="1"/>
    </xf>
    <xf numFmtId="168" fontId="21" fillId="0" borderId="1" xfId="0" applyNumberFormat="1" applyFont="1" applyBorder="1" applyAlignment="1">
      <alignment horizontal="center" vertical="center" wrapText="1"/>
    </xf>
    <xf numFmtId="168" fontId="12" fillId="0" borderId="1" xfId="1" applyNumberFormat="1" applyFont="1" applyFill="1" applyBorder="1" applyAlignment="1">
      <alignment horizontal="center" vertical="center"/>
    </xf>
    <xf numFmtId="168" fontId="14" fillId="0" borderId="1" xfId="1" applyNumberFormat="1" applyFont="1" applyFill="1" applyBorder="1" applyAlignment="1">
      <alignment horizontal="center" vertical="center"/>
    </xf>
    <xf numFmtId="168" fontId="11" fillId="0" borderId="1" xfId="1" applyNumberFormat="1" applyFont="1" applyFill="1" applyBorder="1" applyAlignment="1">
      <alignment horizontal="center" vertical="center"/>
    </xf>
    <xf numFmtId="168" fontId="6" fillId="0" borderId="0" xfId="1" applyNumberFormat="1" applyFont="1" applyFill="1" applyAlignment="1">
      <alignment horizontal="center" vertical="center" wrapText="1"/>
    </xf>
    <xf numFmtId="168" fontId="5" fillId="0" borderId="0" xfId="1" applyNumberFormat="1" applyFont="1" applyFill="1" applyAlignment="1">
      <alignment horizontal="center" vertical="center" wrapText="1"/>
    </xf>
    <xf numFmtId="168" fontId="20" fillId="0" borderId="1" xfId="1" applyNumberFormat="1" applyFont="1" applyFill="1" applyBorder="1" applyAlignment="1">
      <alignment horizontal="center" vertical="center" wrapText="1"/>
    </xf>
    <xf numFmtId="168" fontId="21" fillId="0" borderId="0" xfId="1" applyNumberFormat="1" applyFont="1" applyAlignment="1">
      <alignment horizontal="center" vertical="center" wrapText="1"/>
    </xf>
    <xf numFmtId="168" fontId="22" fillId="0" borderId="1" xfId="1" applyNumberFormat="1" applyFont="1" applyBorder="1" applyAlignment="1">
      <alignment horizontal="center" vertical="center" wrapText="1"/>
    </xf>
    <xf numFmtId="168" fontId="10" fillId="2" borderId="1" xfId="1" applyNumberFormat="1" applyFont="1" applyFill="1" applyBorder="1" applyAlignment="1">
      <alignment horizontal="center" vertical="center" wrapText="1"/>
    </xf>
    <xf numFmtId="0" fontId="10" fillId="0" borderId="1" xfId="0" applyFont="1" applyBorder="1" applyAlignment="1">
      <alignment horizontal="center" vertical="center"/>
    </xf>
    <xf numFmtId="0" fontId="12" fillId="0" borderId="1" xfId="0" applyFont="1" applyBorder="1" applyAlignment="1">
      <alignment horizontal="center" vertical="center"/>
    </xf>
    <xf numFmtId="14" fontId="6" fillId="0" borderId="0" xfId="1" applyNumberFormat="1" applyFont="1" applyFill="1" applyAlignment="1">
      <alignment horizontal="center" vertical="center" wrapText="1"/>
    </xf>
    <xf numFmtId="164" fontId="12" fillId="3" borderId="1" xfId="1" applyFont="1" applyFill="1" applyBorder="1" applyAlignment="1">
      <alignment horizontal="center" vertical="center" wrapText="1"/>
    </xf>
    <xf numFmtId="0" fontId="11" fillId="3" borderId="1" xfId="1" applyNumberFormat="1" applyFont="1" applyFill="1" applyBorder="1" applyAlignment="1">
      <alignment horizontal="center" vertical="center" wrapText="1"/>
    </xf>
    <xf numFmtId="14" fontId="11" fillId="3" borderId="1" xfId="1" applyNumberFormat="1" applyFont="1" applyFill="1" applyBorder="1" applyAlignment="1">
      <alignment horizontal="center" vertical="center" wrapText="1"/>
    </xf>
    <xf numFmtId="166" fontId="11" fillId="3" borderId="1" xfId="1" applyNumberFormat="1" applyFont="1" applyFill="1" applyBorder="1" applyAlignment="1">
      <alignment horizontal="center" vertical="center" wrapText="1"/>
    </xf>
    <xf numFmtId="168" fontId="18" fillId="0" borderId="1" xfId="1" applyNumberFormat="1" applyFont="1" applyBorder="1" applyAlignment="1">
      <alignment horizontal="center" vertical="center" wrapText="1"/>
    </xf>
    <xf numFmtId="168" fontId="18" fillId="0" borderId="0" xfId="1" applyNumberFormat="1" applyFont="1" applyAlignment="1">
      <alignment horizontal="center" vertical="center" wrapText="1"/>
    </xf>
    <xf numFmtId="0" fontId="12" fillId="0" borderId="0" xfId="0" applyFont="1" applyAlignment="1">
      <alignment horizontal="right" vertical="center" wrapText="1"/>
    </xf>
    <xf numFmtId="14" fontId="12" fillId="0" borderId="0" xfId="0" applyNumberFormat="1" applyFont="1" applyAlignment="1">
      <alignment horizontal="left" vertical="center" wrapText="1"/>
    </xf>
    <xf numFmtId="0" fontId="17" fillId="0" borderId="0" xfId="0" applyFont="1" applyAlignment="1">
      <alignment horizontal="right" vertical="center" wrapText="1"/>
    </xf>
    <xf numFmtId="14" fontId="17" fillId="0" borderId="0" xfId="0" applyNumberFormat="1" applyFont="1" applyAlignment="1">
      <alignment horizontal="left" vertical="center" wrapText="1"/>
    </xf>
    <xf numFmtId="166" fontId="14" fillId="2" borderId="3" xfId="1" applyNumberFormat="1" applyFont="1" applyFill="1" applyBorder="1" applyAlignment="1">
      <alignment horizontal="centerContinuous" vertical="center" wrapText="1"/>
    </xf>
    <xf numFmtId="166" fontId="14" fillId="2" borderId="4" xfId="1" applyNumberFormat="1" applyFont="1" applyFill="1" applyBorder="1" applyAlignment="1">
      <alignment horizontal="centerContinuous" vertical="center" wrapText="1"/>
    </xf>
    <xf numFmtId="166" fontId="14" fillId="2" borderId="2" xfId="1" applyNumberFormat="1" applyFont="1" applyFill="1" applyBorder="1" applyAlignment="1">
      <alignment horizontal="centerContinuous" vertical="center" wrapText="1"/>
    </xf>
    <xf numFmtId="168" fontId="12" fillId="4" borderId="1" xfId="1" applyNumberFormat="1" applyFont="1" applyFill="1" applyBorder="1" applyAlignment="1">
      <alignment horizontal="center" vertical="center" wrapText="1"/>
    </xf>
    <xf numFmtId="168" fontId="10" fillId="4" borderId="1" xfId="1" applyNumberFormat="1" applyFont="1" applyFill="1" applyBorder="1" applyAlignment="1">
      <alignment horizontal="center" vertical="center" wrapText="1"/>
    </xf>
    <xf numFmtId="168" fontId="14" fillId="4" borderId="1" xfId="1" applyNumberFormat="1" applyFont="1" applyFill="1" applyBorder="1" applyAlignment="1">
      <alignment horizontal="center" vertical="center" wrapText="1"/>
    </xf>
    <xf numFmtId="0" fontId="11" fillId="5" borderId="1" xfId="1" applyNumberFormat="1" applyFont="1" applyFill="1" applyBorder="1" applyAlignment="1">
      <alignment horizontal="center" vertical="center" wrapText="1"/>
    </xf>
    <xf numFmtId="166" fontId="11" fillId="5" borderId="1" xfId="1"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7" fillId="5" borderId="0" xfId="0" applyFont="1" applyFill="1" applyAlignment="1">
      <alignment horizontal="center" vertical="center" wrapText="1"/>
    </xf>
    <xf numFmtId="0" fontId="3" fillId="0" borderId="0" xfId="0" applyFont="1" applyAlignment="1">
      <alignment horizontal="center" vertical="center" wrapText="1"/>
    </xf>
    <xf numFmtId="0" fontId="12" fillId="0" borderId="0" xfId="0" applyFont="1" applyAlignment="1">
      <alignment horizontal="center" vertical="center" wrapText="1"/>
    </xf>
    <xf numFmtId="0" fontId="14" fillId="2" borderId="1" xfId="0" applyFont="1" applyFill="1" applyBorder="1" applyAlignment="1">
      <alignment horizontal="center" vertical="center" wrapText="1"/>
    </xf>
    <xf numFmtId="0" fontId="5" fillId="0" borderId="0" xfId="0" applyFont="1" applyAlignment="1">
      <alignment horizontal="center" vertical="center" wrapText="1"/>
    </xf>
    <xf numFmtId="166" fontId="11" fillId="0" borderId="3" xfId="1" applyNumberFormat="1" applyFont="1" applyFill="1" applyBorder="1" applyAlignment="1">
      <alignment horizontal="center" vertical="center" wrapText="1"/>
    </xf>
    <xf numFmtId="166" fontId="11" fillId="0" borderId="4" xfId="1" applyNumberFormat="1"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168" fontId="12" fillId="0" borderId="1" xfId="1" applyNumberFormat="1" applyFont="1" applyBorder="1" applyAlignment="1">
      <alignment horizontal="center" vertical="center" wrapText="1"/>
    </xf>
    <xf numFmtId="164" fontId="11" fillId="0" borderId="3" xfId="1" applyFont="1" applyFill="1" applyBorder="1" applyAlignment="1">
      <alignment horizontal="center" vertical="center" wrapText="1"/>
    </xf>
    <xf numFmtId="164" fontId="11" fillId="0" borderId="4" xfId="1" applyFont="1" applyFill="1" applyBorder="1" applyAlignment="1">
      <alignment horizontal="center" vertical="center" wrapText="1"/>
    </xf>
    <xf numFmtId="164" fontId="11" fillId="0" borderId="2" xfId="1" applyFont="1" applyFill="1" applyBorder="1" applyAlignment="1">
      <alignment horizontal="center" vertical="center" wrapText="1"/>
    </xf>
    <xf numFmtId="166" fontId="11" fillId="0" borderId="1" xfId="1" applyNumberFormat="1" applyFont="1" applyFill="1" applyBorder="1" applyAlignment="1">
      <alignment horizontal="center" vertical="center" wrapText="1"/>
    </xf>
    <xf numFmtId="0" fontId="12" fillId="0" borderId="1" xfId="0" applyFont="1" applyBorder="1" applyAlignment="1">
      <alignment horizontal="center" vertical="center" wrapText="1"/>
    </xf>
    <xf numFmtId="168" fontId="12" fillId="0" borderId="1" xfId="1" applyNumberFormat="1" applyFont="1" applyFill="1" applyBorder="1" applyAlignment="1">
      <alignment horizontal="center" vertical="center" wrapText="1"/>
    </xf>
    <xf numFmtId="0" fontId="12" fillId="0" borderId="2" xfId="0" applyFont="1" applyBorder="1" applyAlignment="1">
      <alignment horizontal="center" vertical="center" wrapText="1"/>
    </xf>
    <xf numFmtId="0" fontId="18" fillId="0" borderId="0" xfId="0" applyFont="1" applyAlignment="1">
      <alignment horizontal="center" vertical="center" wrapText="1"/>
    </xf>
    <xf numFmtId="168" fontId="12" fillId="4" borderId="1" xfId="1" applyNumberFormat="1" applyFont="1" applyFill="1" applyBorder="1" applyAlignment="1">
      <alignment horizontal="center" vertical="center" wrapText="1"/>
    </xf>
    <xf numFmtId="166" fontId="11" fillId="0" borderId="2" xfId="1" applyNumberFormat="1" applyFont="1" applyFill="1" applyBorder="1" applyAlignment="1">
      <alignment horizontal="center" vertical="center" wrapText="1"/>
    </xf>
    <xf numFmtId="168" fontId="12" fillId="0" borderId="3" xfId="1" applyNumberFormat="1" applyFont="1" applyBorder="1" applyAlignment="1">
      <alignment horizontal="center" vertical="center" wrapText="1"/>
    </xf>
    <xf numFmtId="168" fontId="12" fillId="0" borderId="4" xfId="1" applyNumberFormat="1" applyFont="1" applyBorder="1" applyAlignment="1">
      <alignment horizontal="center" vertical="center" wrapText="1"/>
    </xf>
    <xf numFmtId="168" fontId="12" fillId="0" borderId="2" xfId="1" applyNumberFormat="1" applyFont="1" applyBorder="1" applyAlignment="1">
      <alignment horizontal="center" vertical="center" wrapText="1"/>
    </xf>
    <xf numFmtId="168" fontId="11" fillId="0" borderId="1" xfId="1" applyNumberFormat="1" applyFont="1" applyBorder="1" applyAlignment="1">
      <alignment horizontal="center" vertical="center" wrapText="1"/>
    </xf>
    <xf numFmtId="0" fontId="11" fillId="0" borderId="1" xfId="1" applyNumberFormat="1" applyFont="1" applyFill="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4" xfId="0" applyFont="1" applyBorder="1" applyAlignment="1">
      <alignment horizontal="center" vertical="center" wrapText="1"/>
    </xf>
    <xf numFmtId="0" fontId="17" fillId="0" borderId="0" xfId="0" applyFont="1" applyAlignment="1">
      <alignment horizontal="center" vertical="center" wrapText="1"/>
    </xf>
    <xf numFmtId="0" fontId="17"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3" xfId="1" applyNumberFormat="1" applyFont="1" applyFill="1" applyBorder="1" applyAlignment="1">
      <alignment horizontal="center" vertical="center" wrapText="1"/>
    </xf>
    <xf numFmtId="0" fontId="11" fillId="0" borderId="2" xfId="1" applyNumberFormat="1" applyFont="1" applyFill="1" applyBorder="1" applyAlignment="1">
      <alignment horizontal="center" vertical="center" wrapText="1"/>
    </xf>
  </cellXfs>
  <cellStyles count="20">
    <cellStyle name="Comma" xfId="1" builtinId="3"/>
    <cellStyle name="Comma 2" xfId="4" xr:uid="{6B5AA481-C9E9-4789-BF6A-E31F0E434216}"/>
    <cellStyle name="Comma 3" xfId="13" xr:uid="{AF35E587-DC3F-4ACD-93A7-0250E9C9F2CB}"/>
    <cellStyle name="Comma 3 2" xfId="18" xr:uid="{537D76B2-1BCF-415F-81DF-EF3AAC3D92AE}"/>
    <cellStyle name="Comma 4" xfId="6" xr:uid="{25879847-CDAC-481E-B52D-682B0C2A76AB}"/>
    <cellStyle name="Comma 4 2" xfId="16" xr:uid="{D55EBBE3-070D-4AF4-BD66-FB33B624C1BA}"/>
    <cellStyle name="Comma 5" xfId="15" xr:uid="{289D43CB-B2C5-4791-AEFF-5F493576F5CD}"/>
    <cellStyle name="Comma 6" xfId="3" xr:uid="{8370A2EE-8FAD-43BC-BA14-24336E89E2B9}"/>
    <cellStyle name="Normal" xfId="0" builtinId="0"/>
    <cellStyle name="Normal 19 2" xfId="9" xr:uid="{48F4B064-F4A8-470F-A94E-35ABE0DCAE09}"/>
    <cellStyle name="Normal 2" xfId="5" xr:uid="{9CBEFB30-1BEC-4948-82F5-6E5E4FC22714}"/>
    <cellStyle name="Normal 21" xfId="11" xr:uid="{30627724-FED7-48DF-8039-6C9E6F7BF4FB}"/>
    <cellStyle name="Normal 3" xfId="7" xr:uid="{6448FB1F-3286-409D-BD93-D484FD1379B0}"/>
    <cellStyle name="Normal 4" xfId="12" xr:uid="{5347E19C-080D-4EB3-8D04-12B6E167DD56}"/>
    <cellStyle name="Normal 4 2" xfId="10" xr:uid="{399076F2-4B32-43E8-9BB8-A8C39194EE4F}"/>
    <cellStyle name="Normal 4 3" xfId="17" xr:uid="{7ADB7230-5A1A-4E47-AE15-83F6204706DF}"/>
    <cellStyle name="Normal 443" xfId="8" xr:uid="{BAA762DA-3646-4D2F-9151-17511CE4DCE1}"/>
    <cellStyle name="Normal 5" xfId="14" xr:uid="{FB25010C-2ADF-4A99-9AE4-CE1FDE4DC3B2}"/>
    <cellStyle name="Normal 5 2" xfId="19" xr:uid="{C2DFEC68-4D8E-4421-AEEF-C6FC3F3E2DC3}"/>
    <cellStyle name="Normal 6" xfId="2" xr:uid="{8C479D37-09FA-46B9-8D2F-2B366C38392E}"/>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Times New Roman"/>
        <family val="1"/>
        <scheme val="none"/>
      </font>
    </dxf>
    <dxf>
      <border outline="0">
        <bottom style="thin">
          <color indexed="64"/>
        </bottom>
      </border>
    </dxf>
    <dxf>
      <font>
        <b/>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Times New Roman"/>
        <family val="1"/>
        <scheme val="none"/>
      </font>
    </dxf>
    <dxf>
      <border outline="0">
        <bottom style="thin">
          <color indexed="64"/>
        </bottom>
      </border>
    </dxf>
    <dxf>
      <font>
        <b/>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Times New Roman"/>
        <family val="1"/>
        <scheme val="none"/>
      </font>
    </dxf>
    <dxf>
      <border outline="0">
        <bottom style="thin">
          <color indexed="64"/>
        </bottom>
      </border>
    </dxf>
    <dxf>
      <font>
        <b/>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Times New Roman"/>
        <family val="1"/>
        <scheme val="none"/>
      </font>
    </dxf>
    <dxf>
      <border outline="0">
        <bottom style="thin">
          <color indexed="64"/>
        </bottom>
      </border>
    </dxf>
    <dxf>
      <font>
        <b/>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9DA61-2803-4416-9C7A-15C43D12F517}" name="Table1" displayName="Table1" ref="A10:A14" totalsRowShown="0" headerRowDxfId="18" dataDxfId="16" headerRowBorderDxfId="17" tableBorderDxfId="15" totalsRowBorderDxfId="14" headerRowCellStyle="Normal 19 2" dataCellStyle="Normal 19 2">
  <autoFilter ref="A10:A14" xr:uid="{6DB9DA61-2803-4416-9C7A-15C43D12F517}"/>
  <tableColumns count="1">
    <tableColumn id="1" xr3:uid="{110252DF-5D5F-4B6E-93E1-861527D3B6D4}" name="Loại chứng từ" dataDxfId="13" dataCellStyle="Normal 19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B493FB-0CC7-40EC-B4A4-5CD26F9E5179}" name="Table2" displayName="Table2" ref="C10:C16" totalsRowShown="0" headerRowDxfId="12" dataDxfId="10" headerRowBorderDxfId="11" tableBorderDxfId="9" totalsRowBorderDxfId="8" headerRowCellStyle="Normal 19 2" dataCellStyle="Normal 19 2">
  <autoFilter ref="C10:C16" xr:uid="{72B493FB-0CC7-40EC-B4A4-5CD26F9E5179}"/>
  <tableColumns count="1">
    <tableColumn id="1" xr3:uid="{E1B3D65A-52E2-4E5E-91E9-FF419A6E4103}" name="Hình thức thu chi" dataDxfId="7" dataCellStyle="Normal 19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C2B4E0-F8C1-4618-9968-ECD941FB24E8}" name="Table11" displayName="Table11" ref="E10:E17" totalsRowShown="0" headerRowDxfId="6" dataDxfId="5">
  <autoFilter ref="E10:E17" xr:uid="{20C2B4E0-F8C1-4618-9968-ECD941FB24E8}"/>
  <tableColumns count="1">
    <tableColumn id="1" xr3:uid="{3A4B950B-19D6-4BF4-B216-5E87096CB0E7}" name="Hạng mục chi"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5FE476-A2DD-434F-974F-8548FE4ADF99}" name="Table6" displayName="Table6" ref="A6:C13" totalsRowShown="0" headerRowDxfId="50" dataDxfId="48" headerRowBorderDxfId="49" tableBorderDxfId="47" totalsRowBorderDxfId="46">
  <autoFilter ref="A6:C13" xr:uid="{5B5FE476-A2DD-434F-974F-8548FE4ADF99}"/>
  <tableColumns count="3">
    <tableColumn id="1" xr3:uid="{FCFFDFF3-1F2A-488B-ADC2-D629F5240C7D}" name="STT" dataDxfId="45"/>
    <tableColumn id="2" xr3:uid="{E5AB822C-380D-4B05-980B-A36F91C82909}" name="Số QĐ bồi thường gốc" dataDxfId="44"/>
    <tableColumn id="3" xr3:uid="{59B568BA-692D-4016-AD5A-5F021A8DA58B}" name="N/T/N PABT gốc" dataDxfId="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74017C-40C0-4F1A-98E5-9DBF25492A71}" name="Table7" displayName="Table7" ref="E6:G12" totalsRowShown="0" headerRowDxfId="42" dataDxfId="40" headerRowBorderDxfId="41" tableBorderDxfId="39" totalsRowBorderDxfId="38">
  <autoFilter ref="E6:G12" xr:uid="{F874017C-40C0-4F1A-98E5-9DBF25492A71}"/>
  <tableColumns count="3">
    <tableColumn id="1" xr3:uid="{940432AA-7742-4BEA-82E2-252E11C04D72}" name="STT" dataDxfId="37"/>
    <tableColumn id="2" xr3:uid="{DECF43C5-D216-48CA-9198-8583789CE10B}" name="Số QĐ thu hồi đất gốc" dataDxfId="36"/>
    <tableColumn id="3" xr3:uid="{6D38C80F-0228-484E-9E44-A161EA532277}" name="N/T/N" dataDxfId="3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E2E5C8-C9B0-40CD-8C70-C79FE0A89CDD}" name="Table8" displayName="Table8" ref="I6:K13" totalsRowShown="0" headerRowDxfId="34" dataDxfId="32" headerRowBorderDxfId="33" tableBorderDxfId="31" totalsRowBorderDxfId="30">
  <autoFilter ref="I6:K13" xr:uid="{7AE2E5C8-C9B0-40CD-8C70-C79FE0A89CDD}"/>
  <tableColumns count="3">
    <tableColumn id="1" xr3:uid="{7A5E3225-CB8C-4C36-8E92-781536A256E0}" name="STT" dataDxfId="29"/>
    <tableColumn id="2" xr3:uid="{187B650A-914E-4FA4-95EC-38719657B868}" name="Số QĐ thưởng GPMB nhanh gốc" dataDxfId="28"/>
    <tableColumn id="3" xr3:uid="{1B634A89-A3F7-494F-8B50-6EF15413187C}" name="N/T/N GPMB nhanh gốc" dataDxfId="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A7EF3D-6483-4AA4-ACB7-0B3B14AF3118}" name="Table9" displayName="Table9" ref="M6:O12" totalsRowShown="0" headerRowDxfId="26" dataDxfId="24" headerRowBorderDxfId="25" tableBorderDxfId="23" totalsRowBorderDxfId="22">
  <autoFilter ref="M6:O12" xr:uid="{FBA7EF3D-6483-4AA4-ACB7-0B3B14AF3118}"/>
  <tableColumns count="3">
    <tableColumn id="1" xr3:uid="{0DAF7FE3-D3B2-409D-95A0-5633A68C8832}" name="STT" dataDxfId="21"/>
    <tableColumn id="2" xr3:uid="{2F6528A8-63AF-44FB-93D5-A921AF887D65}" name="Số QĐ/CV chi phí hội đồng" dataDxfId="20"/>
    <tableColumn id="3" xr3:uid="{3D8B9CA9-673F-4BB1-85D5-C808DD6FBDFD}" name="N/T/N"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7D38-414B-4E8B-8419-A91C5AC64924}">
  <sheetPr>
    <tabColor rgb="FFFF0000"/>
  </sheetPr>
  <dimension ref="A10:E21"/>
  <sheetViews>
    <sheetView workbookViewId="0">
      <selection activeCell="C20" sqref="C20"/>
    </sheetView>
  </sheetViews>
  <sheetFormatPr defaultColWidth="8.85546875" defaultRowHeight="12.75" x14ac:dyDescent="0.25"/>
  <cols>
    <col min="1" max="1" width="18.42578125" style="16" customWidth="1"/>
    <col min="2" max="2" width="4.85546875" style="16" customWidth="1"/>
    <col min="3" max="3" width="20.7109375" style="16" customWidth="1"/>
    <col min="4" max="4" width="4.85546875" style="16" customWidth="1"/>
    <col min="5" max="5" width="20.5703125" style="16" bestFit="1" customWidth="1"/>
    <col min="6" max="16384" width="8.85546875" style="16"/>
  </cols>
  <sheetData>
    <row r="10" spans="1:5" x14ac:dyDescent="0.25">
      <c r="A10" s="82" t="s">
        <v>3</v>
      </c>
      <c r="B10" s="83"/>
      <c r="C10" s="82" t="s">
        <v>4</v>
      </c>
      <c r="E10" s="16" t="s">
        <v>90</v>
      </c>
    </row>
    <row r="11" spans="1:5" x14ac:dyDescent="0.25">
      <c r="A11" s="84" t="s">
        <v>5</v>
      </c>
      <c r="B11" s="83"/>
      <c r="C11" s="84" t="s">
        <v>6</v>
      </c>
      <c r="E11" s="16" t="s">
        <v>91</v>
      </c>
    </row>
    <row r="12" spans="1:5" x14ac:dyDescent="0.25">
      <c r="A12" s="84" t="s">
        <v>7</v>
      </c>
      <c r="B12" s="83"/>
      <c r="C12" s="84" t="s">
        <v>8</v>
      </c>
      <c r="E12" s="16" t="s">
        <v>92</v>
      </c>
    </row>
    <row r="13" spans="1:5" ht="25.5" x14ac:dyDescent="0.25">
      <c r="A13" s="84"/>
      <c r="B13" s="83"/>
      <c r="C13" s="85" t="s">
        <v>76</v>
      </c>
      <c r="E13" s="16" t="s">
        <v>260</v>
      </c>
    </row>
    <row r="14" spans="1:5" x14ac:dyDescent="0.25">
      <c r="A14" s="85"/>
      <c r="B14" s="83"/>
      <c r="C14" s="85" t="s">
        <v>77</v>
      </c>
      <c r="E14" s="16" t="s">
        <v>93</v>
      </c>
    </row>
    <row r="15" spans="1:5" x14ac:dyDescent="0.25">
      <c r="C15" s="85"/>
      <c r="E15" s="16" t="s">
        <v>94</v>
      </c>
    </row>
    <row r="16" spans="1:5" ht="25.5" x14ac:dyDescent="0.25">
      <c r="C16" s="85"/>
      <c r="E16" s="16" t="s">
        <v>249</v>
      </c>
    </row>
    <row r="17" spans="1:5" x14ac:dyDescent="0.25">
      <c r="E17" s="16" t="s">
        <v>109</v>
      </c>
    </row>
    <row r="20" spans="1:5" ht="25.5" x14ac:dyDescent="0.25">
      <c r="A20" s="16" t="s">
        <v>312</v>
      </c>
      <c r="C20" s="16" t="s">
        <v>314</v>
      </c>
      <c r="E20" s="16" t="s">
        <v>373</v>
      </c>
    </row>
    <row r="21" spans="1:5" x14ac:dyDescent="0.25">
      <c r="A21" s="16" t="s">
        <v>313</v>
      </c>
      <c r="C21" s="16" t="s">
        <v>315</v>
      </c>
      <c r="E21" s="16" t="s">
        <v>316</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C6F6-A3BF-483C-916C-548ACBE95354}">
  <sheetPr>
    <tabColor rgb="FFFF0000"/>
  </sheetPr>
  <dimension ref="A1:F54"/>
  <sheetViews>
    <sheetView workbookViewId="0">
      <selection activeCell="G7" sqref="G7"/>
    </sheetView>
  </sheetViews>
  <sheetFormatPr defaultColWidth="8.85546875" defaultRowHeight="15" x14ac:dyDescent="0.25"/>
  <cols>
    <col min="1" max="1" width="5" style="87" bestFit="1" customWidth="1"/>
    <col min="2" max="2" width="13.28515625" style="89" customWidth="1"/>
    <col min="3" max="3" width="17.28515625" style="89" bestFit="1" customWidth="1"/>
    <col min="4" max="4" width="10.140625" style="89" bestFit="1" customWidth="1"/>
    <col min="5" max="5" width="9.28515625" style="89" bestFit="1" customWidth="1"/>
    <col min="6" max="6" width="10.7109375" style="89" bestFit="1" customWidth="1"/>
    <col min="7" max="7" width="32.85546875" style="87" customWidth="1"/>
    <col min="8" max="16384" width="8.85546875" style="87"/>
  </cols>
  <sheetData>
    <row r="1" spans="1:6" ht="15.75" x14ac:dyDescent="0.25">
      <c r="A1" s="168" t="s">
        <v>9</v>
      </c>
      <c r="B1" s="168"/>
      <c r="C1" s="168"/>
      <c r="D1" s="168"/>
      <c r="E1" s="20"/>
    </row>
    <row r="2" spans="1:6" ht="15.75" x14ac:dyDescent="0.25">
      <c r="A2" s="168" t="s">
        <v>10</v>
      </c>
      <c r="B2" s="168"/>
      <c r="C2" s="168"/>
      <c r="D2" s="168"/>
      <c r="E2" s="20"/>
    </row>
    <row r="3" spans="1:6" ht="15.75" x14ac:dyDescent="0.25">
      <c r="A3" s="2"/>
      <c r="B3" s="1"/>
      <c r="C3" s="20"/>
      <c r="D3" s="1"/>
      <c r="E3" s="20"/>
    </row>
    <row r="4" spans="1:6" ht="15.6" customHeight="1" x14ac:dyDescent="0.25">
      <c r="A4" s="168" t="s">
        <v>201</v>
      </c>
      <c r="B4" s="168"/>
      <c r="C4" s="168"/>
      <c r="D4" s="168"/>
      <c r="E4" s="168"/>
      <c r="F4" s="168"/>
    </row>
    <row r="5" spans="1:6" x14ac:dyDescent="0.25">
      <c r="A5" s="184" t="s">
        <v>317</v>
      </c>
      <c r="B5" s="184"/>
      <c r="C5" s="184"/>
      <c r="D5" s="184"/>
      <c r="E5" s="184"/>
      <c r="F5" s="184"/>
    </row>
    <row r="6" spans="1:6" ht="42.75" x14ac:dyDescent="0.25">
      <c r="B6" s="89" t="s">
        <v>323</v>
      </c>
      <c r="C6" s="202" t="s">
        <v>362</v>
      </c>
      <c r="D6" s="202"/>
      <c r="E6" s="202"/>
      <c r="F6" s="202"/>
    </row>
    <row r="7" spans="1:6" ht="28.5" x14ac:dyDescent="0.25">
      <c r="A7" s="86" t="s">
        <v>0</v>
      </c>
      <c r="B7" s="86" t="s">
        <v>200</v>
      </c>
      <c r="C7" s="4" t="s">
        <v>36</v>
      </c>
      <c r="D7" s="4" t="s">
        <v>133</v>
      </c>
      <c r="E7" s="5" t="s">
        <v>154</v>
      </c>
      <c r="F7" s="5" t="s">
        <v>82</v>
      </c>
    </row>
    <row r="8" spans="1:6" x14ac:dyDescent="0.25">
      <c r="A8" s="88">
        <v>1</v>
      </c>
      <c r="B8" s="86" cm="1">
        <f t="array" ref="B8:F13">_xlfn.UNIQUE(_xlfn.SORTBY(_xlfn.HSTACK('4. C.Tiết P.Án B.Thường'!$B$11:$B$19954,'4. C.Tiết P.Án B.Thường'!$J$11:$M$19954),'4. C.Tiết P.Án B.Thường'!$B$11:$B$19954,1,'4. C.Tiết P.Án B.Thường'!$J$11:$J$19954,1,'4. C.Tiết P.Án B.Thường'!$K$11:$K$19954,1,'4. C.Tiết P.Án B.Thường'!$L$11:$L$19954,1,'4. C.Tiết P.Án B.Thường'!$M$11:$M$19954,1))</f>
        <v>110</v>
      </c>
      <c r="C8" s="86" t="str">
        <v>Nguyễn Đức Anh</v>
      </c>
      <c r="D8" s="86" t="str">
        <v>Tiên Cát</v>
      </c>
      <c r="E8" s="86" t="str">
        <v>Minh Hà</v>
      </c>
      <c r="F8" s="86" t="str">
        <v>123A</v>
      </c>
    </row>
    <row r="9" spans="1:6" x14ac:dyDescent="0.25">
      <c r="A9" s="88">
        <v>2</v>
      </c>
      <c r="B9" s="86">
        <v>120</v>
      </c>
      <c r="C9" s="86" t="str">
        <v>Nguyễn Đức Anh</v>
      </c>
      <c r="D9" s="86" t="str">
        <v>Tiên Cát</v>
      </c>
      <c r="E9" s="86" t="str">
        <v>Minh Hà</v>
      </c>
      <c r="F9" s="86" t="str">
        <v>123A</v>
      </c>
    </row>
    <row r="10" spans="1:6" x14ac:dyDescent="0.25">
      <c r="A10" s="88">
        <v>3</v>
      </c>
      <c r="B10" s="86">
        <v>130</v>
      </c>
      <c r="C10" s="86" t="str">
        <v>Nguyễn Đức Anh</v>
      </c>
      <c r="D10" s="86" t="str">
        <v>Tiên Cát</v>
      </c>
      <c r="E10" s="86" t="str">
        <v>Minh Hà</v>
      </c>
      <c r="F10" s="86" t="str">
        <v>123A</v>
      </c>
    </row>
    <row r="11" spans="1:6" x14ac:dyDescent="0.25">
      <c r="A11" s="88">
        <v>4</v>
      </c>
      <c r="B11" s="86">
        <v>140</v>
      </c>
      <c r="C11" s="86" t="str">
        <v>Nguyễn Đức Anh</v>
      </c>
      <c r="D11" s="86" t="str">
        <v>Tiên Cát</v>
      </c>
      <c r="E11" s="86" t="str">
        <v>Minh Hà</v>
      </c>
      <c r="F11" s="86" t="str">
        <v>123A</v>
      </c>
    </row>
    <row r="12" spans="1:6" x14ac:dyDescent="0.25">
      <c r="A12" s="88">
        <v>5</v>
      </c>
      <c r="B12" s="86" t="str">
        <v>Tạm ứng</v>
      </c>
      <c r="C12" s="86" t="str">
        <v>Nguyễn Đức Anh</v>
      </c>
      <c r="D12" s="86" t="str">
        <v>Tiên Cát</v>
      </c>
      <c r="E12" s="86" t="str">
        <v>Minh Hà</v>
      </c>
      <c r="F12" s="86" t="str">
        <v>123A</v>
      </c>
    </row>
    <row r="13" spans="1:6" x14ac:dyDescent="0.25">
      <c r="A13" s="88">
        <v>6</v>
      </c>
      <c r="B13" s="86">
        <v>0</v>
      </c>
      <c r="C13" s="86">
        <v>0</v>
      </c>
      <c r="D13" s="86">
        <v>0</v>
      </c>
      <c r="E13" s="86">
        <v>0</v>
      </c>
      <c r="F13" s="86">
        <v>0</v>
      </c>
    </row>
    <row r="14" spans="1:6" x14ac:dyDescent="0.25">
      <c r="A14" s="88">
        <v>7</v>
      </c>
      <c r="B14" s="86"/>
      <c r="C14" s="86"/>
      <c r="D14" s="86"/>
      <c r="E14" s="86"/>
      <c r="F14" s="86"/>
    </row>
    <row r="15" spans="1:6" x14ac:dyDescent="0.25">
      <c r="A15" s="88">
        <v>8</v>
      </c>
      <c r="B15" s="86"/>
      <c r="C15" s="86"/>
      <c r="D15" s="86"/>
      <c r="E15" s="86"/>
      <c r="F15" s="86"/>
    </row>
    <row r="16" spans="1:6" x14ac:dyDescent="0.25">
      <c r="A16" s="88">
        <v>9</v>
      </c>
      <c r="B16" s="86"/>
      <c r="C16" s="86"/>
      <c r="D16" s="86"/>
      <c r="E16" s="86"/>
      <c r="F16" s="86"/>
    </row>
    <row r="17" spans="1:6" x14ac:dyDescent="0.25">
      <c r="A17" s="88">
        <v>10</v>
      </c>
      <c r="B17" s="86"/>
      <c r="C17" s="86"/>
      <c r="D17" s="86"/>
      <c r="E17" s="86"/>
      <c r="F17" s="86"/>
    </row>
    <row r="18" spans="1:6" x14ac:dyDescent="0.25">
      <c r="A18" s="88">
        <v>11</v>
      </c>
      <c r="B18" s="86"/>
      <c r="C18" s="86"/>
      <c r="D18" s="86"/>
      <c r="E18" s="86"/>
      <c r="F18" s="86"/>
    </row>
    <row r="19" spans="1:6" x14ac:dyDescent="0.25">
      <c r="A19" s="88">
        <v>12</v>
      </c>
      <c r="B19" s="86"/>
      <c r="C19" s="86"/>
      <c r="D19" s="86"/>
      <c r="E19" s="86"/>
      <c r="F19" s="86"/>
    </row>
    <row r="20" spans="1:6" x14ac:dyDescent="0.25">
      <c r="A20" s="88">
        <v>13</v>
      </c>
      <c r="B20" s="86"/>
      <c r="C20" s="86"/>
      <c r="D20" s="86"/>
      <c r="E20" s="86"/>
      <c r="F20" s="86"/>
    </row>
    <row r="21" spans="1:6" x14ac:dyDescent="0.25">
      <c r="A21" s="88">
        <v>14</v>
      </c>
      <c r="B21" s="86"/>
      <c r="C21" s="86"/>
      <c r="D21" s="86"/>
      <c r="E21" s="86"/>
      <c r="F21" s="86"/>
    </row>
    <row r="22" spans="1:6" x14ac:dyDescent="0.25">
      <c r="A22" s="88">
        <v>15</v>
      </c>
      <c r="B22" s="86"/>
      <c r="C22" s="86"/>
      <c r="D22" s="86"/>
      <c r="E22" s="86"/>
      <c r="F22" s="86"/>
    </row>
    <row r="23" spans="1:6" x14ac:dyDescent="0.25">
      <c r="A23" s="88">
        <v>16</v>
      </c>
      <c r="B23" s="86"/>
      <c r="C23" s="86"/>
      <c r="D23" s="86"/>
      <c r="E23" s="86"/>
      <c r="F23" s="86"/>
    </row>
    <row r="24" spans="1:6" x14ac:dyDescent="0.25">
      <c r="A24" s="88">
        <v>17</v>
      </c>
      <c r="B24" s="86"/>
      <c r="C24" s="86"/>
      <c r="D24" s="86"/>
      <c r="E24" s="86"/>
      <c r="F24" s="86"/>
    </row>
    <row r="25" spans="1:6" x14ac:dyDescent="0.25">
      <c r="A25" s="88">
        <v>18</v>
      </c>
      <c r="B25" s="86"/>
      <c r="C25" s="86"/>
      <c r="D25" s="86"/>
      <c r="E25" s="86"/>
      <c r="F25" s="86"/>
    </row>
    <row r="26" spans="1:6" x14ac:dyDescent="0.25">
      <c r="A26" s="88">
        <v>19</v>
      </c>
      <c r="B26" s="86"/>
      <c r="C26" s="86"/>
      <c r="D26" s="86"/>
      <c r="E26" s="86"/>
      <c r="F26" s="86"/>
    </row>
    <row r="27" spans="1:6" x14ac:dyDescent="0.25">
      <c r="A27" s="88">
        <v>20</v>
      </c>
      <c r="B27" s="86"/>
      <c r="C27" s="86"/>
      <c r="D27" s="86"/>
      <c r="E27" s="86"/>
      <c r="F27" s="86"/>
    </row>
    <row r="28" spans="1:6" x14ac:dyDescent="0.25">
      <c r="A28" s="88">
        <v>21</v>
      </c>
      <c r="B28" s="86"/>
      <c r="C28" s="86"/>
      <c r="D28" s="86"/>
      <c r="E28" s="86"/>
      <c r="F28" s="86"/>
    </row>
    <row r="29" spans="1:6" x14ac:dyDescent="0.25">
      <c r="A29" s="88">
        <v>22</v>
      </c>
      <c r="B29" s="86"/>
      <c r="C29" s="86"/>
      <c r="D29" s="86"/>
      <c r="E29" s="86"/>
      <c r="F29" s="86"/>
    </row>
    <row r="30" spans="1:6" x14ac:dyDescent="0.25">
      <c r="A30" s="88">
        <v>23</v>
      </c>
      <c r="B30" s="86"/>
      <c r="C30" s="86"/>
      <c r="D30" s="86"/>
      <c r="E30" s="86"/>
      <c r="F30" s="86"/>
    </row>
    <row r="31" spans="1:6" x14ac:dyDescent="0.25">
      <c r="A31" s="88">
        <v>24</v>
      </c>
      <c r="B31" s="86"/>
      <c r="C31" s="86"/>
      <c r="D31" s="86"/>
      <c r="E31" s="86"/>
      <c r="F31" s="86"/>
    </row>
    <row r="32" spans="1:6" x14ac:dyDescent="0.25">
      <c r="A32" s="88">
        <v>25</v>
      </c>
      <c r="B32" s="86"/>
      <c r="C32" s="86"/>
      <c r="D32" s="86"/>
      <c r="E32" s="86"/>
      <c r="F32" s="86"/>
    </row>
    <row r="33" spans="1:6" x14ac:dyDescent="0.25">
      <c r="A33" s="88">
        <v>26</v>
      </c>
      <c r="B33" s="86"/>
      <c r="C33" s="86"/>
      <c r="D33" s="86"/>
      <c r="E33" s="86"/>
      <c r="F33" s="86"/>
    </row>
    <row r="34" spans="1:6" x14ac:dyDescent="0.25">
      <c r="A34" s="88">
        <v>27</v>
      </c>
      <c r="B34" s="86"/>
      <c r="C34" s="86"/>
      <c r="D34" s="86"/>
      <c r="E34" s="86"/>
      <c r="F34" s="86"/>
    </row>
    <row r="35" spans="1:6" x14ac:dyDescent="0.25">
      <c r="A35" s="88">
        <v>28</v>
      </c>
      <c r="B35" s="86"/>
      <c r="C35" s="86"/>
      <c r="D35" s="86"/>
      <c r="E35" s="86"/>
      <c r="F35" s="86"/>
    </row>
    <row r="36" spans="1:6" x14ac:dyDescent="0.25">
      <c r="A36" s="88">
        <v>29</v>
      </c>
      <c r="B36" s="86"/>
      <c r="C36" s="86"/>
      <c r="D36" s="86"/>
      <c r="E36" s="86"/>
      <c r="F36" s="86"/>
    </row>
    <row r="37" spans="1:6" x14ac:dyDescent="0.25">
      <c r="A37" s="88">
        <v>30</v>
      </c>
      <c r="B37" s="86"/>
      <c r="C37" s="86"/>
      <c r="D37" s="86"/>
      <c r="E37" s="86"/>
      <c r="F37" s="86"/>
    </row>
    <row r="38" spans="1:6" x14ac:dyDescent="0.25">
      <c r="A38" s="88">
        <v>31</v>
      </c>
      <c r="B38" s="86"/>
      <c r="C38" s="86"/>
      <c r="D38" s="86"/>
      <c r="E38" s="86"/>
      <c r="F38" s="86"/>
    </row>
    <row r="39" spans="1:6" x14ac:dyDescent="0.25">
      <c r="A39" s="88">
        <v>32</v>
      </c>
      <c r="B39" s="86"/>
      <c r="C39" s="86"/>
      <c r="D39" s="86"/>
      <c r="E39" s="86"/>
      <c r="F39" s="86"/>
    </row>
    <row r="40" spans="1:6" x14ac:dyDescent="0.25">
      <c r="A40" s="88">
        <v>33</v>
      </c>
      <c r="B40" s="86"/>
      <c r="C40" s="86"/>
      <c r="D40" s="86"/>
      <c r="E40" s="86"/>
      <c r="F40" s="86"/>
    </row>
    <row r="41" spans="1:6" x14ac:dyDescent="0.25">
      <c r="A41" s="88">
        <v>34</v>
      </c>
      <c r="B41" s="86"/>
      <c r="C41" s="86"/>
      <c r="D41" s="86"/>
      <c r="E41" s="86"/>
      <c r="F41" s="86"/>
    </row>
    <row r="42" spans="1:6" x14ac:dyDescent="0.25">
      <c r="A42" s="88">
        <v>35</v>
      </c>
      <c r="B42" s="86"/>
      <c r="C42" s="86"/>
      <c r="D42" s="86"/>
      <c r="E42" s="86"/>
      <c r="F42" s="86"/>
    </row>
    <row r="43" spans="1:6" x14ac:dyDescent="0.25">
      <c r="A43" s="88">
        <v>36</v>
      </c>
      <c r="B43" s="86"/>
      <c r="C43" s="86"/>
      <c r="D43" s="86"/>
      <c r="E43" s="86"/>
      <c r="F43" s="86"/>
    </row>
    <row r="44" spans="1:6" x14ac:dyDescent="0.25">
      <c r="A44" s="88">
        <v>37</v>
      </c>
      <c r="B44" s="86"/>
      <c r="C44" s="86"/>
      <c r="D44" s="86"/>
      <c r="E44" s="86"/>
      <c r="F44" s="86"/>
    </row>
    <row r="45" spans="1:6" x14ac:dyDescent="0.25">
      <c r="A45" s="88">
        <v>38</v>
      </c>
      <c r="B45" s="86"/>
      <c r="C45" s="86"/>
      <c r="D45" s="86"/>
      <c r="E45" s="86"/>
      <c r="F45" s="86"/>
    </row>
    <row r="46" spans="1:6" x14ac:dyDescent="0.25">
      <c r="A46" s="88">
        <v>39</v>
      </c>
      <c r="B46" s="86"/>
      <c r="C46" s="86"/>
      <c r="D46" s="86"/>
      <c r="E46" s="86"/>
      <c r="F46" s="86"/>
    </row>
    <row r="47" spans="1:6" x14ac:dyDescent="0.25">
      <c r="A47" s="88">
        <v>40</v>
      </c>
      <c r="B47" s="86"/>
      <c r="C47" s="86"/>
      <c r="D47" s="86"/>
      <c r="E47" s="86"/>
      <c r="F47" s="86"/>
    </row>
    <row r="48" spans="1:6" x14ac:dyDescent="0.25">
      <c r="A48" s="88">
        <v>41</v>
      </c>
      <c r="B48" s="86"/>
      <c r="C48" s="86"/>
      <c r="D48" s="86"/>
      <c r="E48" s="86"/>
      <c r="F48" s="86"/>
    </row>
    <row r="49" spans="1:6" x14ac:dyDescent="0.25">
      <c r="A49" s="88">
        <v>42</v>
      </c>
      <c r="B49" s="86"/>
      <c r="C49" s="86"/>
      <c r="D49" s="86"/>
      <c r="E49" s="86"/>
      <c r="F49" s="86"/>
    </row>
    <row r="50" spans="1:6" x14ac:dyDescent="0.25">
      <c r="A50" s="88">
        <v>43</v>
      </c>
      <c r="B50" s="86"/>
      <c r="C50" s="86"/>
      <c r="D50" s="86"/>
      <c r="E50" s="86"/>
      <c r="F50" s="86"/>
    </row>
    <row r="51" spans="1:6" x14ac:dyDescent="0.25">
      <c r="A51" s="88">
        <v>44</v>
      </c>
      <c r="B51" s="86"/>
      <c r="C51" s="86"/>
      <c r="D51" s="86"/>
      <c r="E51" s="86"/>
      <c r="F51" s="86"/>
    </row>
    <row r="52" spans="1:6" x14ac:dyDescent="0.25">
      <c r="A52" s="88">
        <v>45</v>
      </c>
      <c r="B52" s="86"/>
      <c r="C52" s="86"/>
      <c r="D52" s="86"/>
      <c r="E52" s="86"/>
      <c r="F52" s="86"/>
    </row>
    <row r="53" spans="1:6" x14ac:dyDescent="0.25">
      <c r="A53" s="88">
        <v>46</v>
      </c>
      <c r="B53" s="86"/>
      <c r="C53" s="86"/>
      <c r="D53" s="86"/>
      <c r="E53" s="86"/>
      <c r="F53" s="86"/>
    </row>
    <row r="54" spans="1:6" x14ac:dyDescent="0.25">
      <c r="A54" s="88">
        <v>47</v>
      </c>
      <c r="B54" s="86"/>
      <c r="C54" s="86"/>
      <c r="D54" s="86"/>
      <c r="E54" s="86"/>
      <c r="F54" s="86"/>
    </row>
  </sheetData>
  <mergeCells count="5">
    <mergeCell ref="A1:D1"/>
    <mergeCell ref="A2:D2"/>
    <mergeCell ref="A4:F4"/>
    <mergeCell ref="C6:F6"/>
    <mergeCell ref="A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6846-7C2F-4FF3-9A5A-407D40645810}">
  <sheetPr>
    <tabColor rgb="FFFF0000"/>
  </sheetPr>
  <dimension ref="A1:F47"/>
  <sheetViews>
    <sheetView workbookViewId="0">
      <selection activeCell="G10" sqref="G10"/>
    </sheetView>
  </sheetViews>
  <sheetFormatPr defaultColWidth="8.85546875" defaultRowHeight="15" x14ac:dyDescent="0.25"/>
  <cols>
    <col min="1" max="1" width="5" style="87" bestFit="1" customWidth="1"/>
    <col min="2" max="2" width="24.7109375" style="89" bestFit="1" customWidth="1"/>
    <col min="3" max="3" width="17.28515625" style="89" bestFit="1" customWidth="1"/>
    <col min="4" max="4" width="10.140625" style="89" bestFit="1" customWidth="1"/>
    <col min="5" max="5" width="9.28515625" style="89" bestFit="1" customWidth="1"/>
    <col min="6" max="6" width="10.7109375" style="89" bestFit="1" customWidth="1"/>
    <col min="7" max="7" width="33.28515625" style="87" bestFit="1" customWidth="1"/>
    <col min="8" max="16384" width="8.85546875" style="87"/>
  </cols>
  <sheetData>
    <row r="1" spans="1:6" ht="15.75" x14ac:dyDescent="0.25">
      <c r="A1" s="168" t="s">
        <v>9</v>
      </c>
      <c r="B1" s="168"/>
      <c r="C1" s="168"/>
      <c r="D1" s="168"/>
      <c r="E1" s="20"/>
    </row>
    <row r="2" spans="1:6" ht="15.75" x14ac:dyDescent="0.25">
      <c r="A2" s="168" t="s">
        <v>10</v>
      </c>
      <c r="B2" s="168"/>
      <c r="C2" s="168"/>
      <c r="D2" s="168"/>
      <c r="E2" s="20"/>
    </row>
    <row r="3" spans="1:6" ht="15.75" x14ac:dyDescent="0.25">
      <c r="A3" s="2"/>
      <c r="B3" s="1"/>
      <c r="C3" s="20"/>
      <c r="D3" s="1"/>
      <c r="E3" s="20"/>
    </row>
    <row r="4" spans="1:6" ht="15.75" x14ac:dyDescent="0.25">
      <c r="A4" s="168" t="s">
        <v>192</v>
      </c>
      <c r="B4" s="168"/>
      <c r="C4" s="168"/>
      <c r="D4" s="168"/>
      <c r="E4" s="168"/>
      <c r="F4" s="168"/>
    </row>
    <row r="5" spans="1:6" ht="15.75" x14ac:dyDescent="0.25">
      <c r="A5" s="1"/>
      <c r="B5" s="1"/>
      <c r="C5" s="1"/>
      <c r="D5" s="1"/>
      <c r="E5" s="1"/>
      <c r="F5" s="1"/>
    </row>
    <row r="6" spans="1:6" ht="15.75" customHeight="1" x14ac:dyDescent="0.25">
      <c r="A6" s="201" t="s">
        <v>318</v>
      </c>
      <c r="B6" s="201"/>
      <c r="C6" s="201"/>
      <c r="D6" s="201"/>
      <c r="E6" s="201"/>
      <c r="F6" s="201"/>
    </row>
    <row r="7" spans="1:6" ht="28.5" x14ac:dyDescent="0.25">
      <c r="B7" s="89" t="s">
        <v>337</v>
      </c>
      <c r="C7" s="202" t="s">
        <v>362</v>
      </c>
      <c r="D7" s="202"/>
      <c r="E7" s="202"/>
      <c r="F7" s="202"/>
    </row>
    <row r="8" spans="1:6" x14ac:dyDescent="0.25">
      <c r="A8" s="86" t="s">
        <v>0</v>
      </c>
      <c r="B8" s="86" t="s">
        <v>63</v>
      </c>
      <c r="C8" s="4" t="s">
        <v>36</v>
      </c>
      <c r="D8" s="4" t="s">
        <v>133</v>
      </c>
      <c r="E8" s="5" t="s">
        <v>154</v>
      </c>
      <c r="F8" s="5" t="s">
        <v>82</v>
      </c>
    </row>
    <row r="9" spans="1:6" x14ac:dyDescent="0.25">
      <c r="A9" s="88"/>
      <c r="B9" s="86" cm="1">
        <f t="array" ref="B9:F12">_xlfn.UNIQUE(_xlfn.SORTBY(_xlfn.HSTACK(_xlfn._xlws.FILTER('4. C.Tiết P.Án B.Thường'!$F$11:$F$19950,'4. C.Tiết P.Án B.Thường'!$F$11:$F$19950&lt;&gt;""),_xlfn._xlws.FILTER('4. C.Tiết P.Án B.Thường'!$J$11:$J$19950,'4. C.Tiết P.Án B.Thường'!$F$11:$F$19950&lt;&gt;""),_xlfn._xlws.FILTER('4. C.Tiết P.Án B.Thường'!$K$11:$K$19950,'4. C.Tiết P.Án B.Thường'!$F$11:$F$19950&lt;&gt;""),_xlfn._xlws.FILTER('4. C.Tiết P.Án B.Thường'!$L$11:$L$19950,'4. C.Tiết P.Án B.Thường'!$F$11:$F$19950&lt;&gt;""),_xlfn._xlws.FILTER('4. C.Tiết P.Án B.Thường'!$M$11:$M$19950,'4. C.Tiết P.Án B.Thường'!$F$11:$F$19950&lt;&gt;"")),_xlfn._xlws.FILTER('4. C.Tiết P.Án B.Thường'!$F$11:$F$19950,'4. C.Tiết P.Án B.Thường'!$F$11:$F$19950&lt;&gt;""),1,_xlfn._xlws.FILTER('4. C.Tiết P.Án B.Thường'!$J$11:$J$19950,'4. C.Tiết P.Án B.Thường'!$F$11:$F$19950&lt;&gt;""),1,_xlfn._xlws.FILTER('4. C.Tiết P.Án B.Thường'!$K$11:$K$19950,'4. C.Tiết P.Án B.Thường'!$F$11:$F$19950&lt;&gt;""),1,_xlfn._xlws.FILTER('4. C.Tiết P.Án B.Thường'!$L$11:$L$19950,'4. C.Tiết P.Án B.Thường'!$F$11:$F$19950&lt;&gt;""),1,_xlfn._xlws.FILTER('4. C.Tiết P.Án B.Thường'!$M$11:$M$19950,'4. C.Tiết P.Án B.Thường'!$F$11:$F$19950&lt;&gt;""),1))</f>
        <v>220</v>
      </c>
      <c r="C9" s="86" t="str">
        <v>Nguyễn Đức Anh</v>
      </c>
      <c r="D9" s="86" t="str">
        <v>Tiên Cát</v>
      </c>
      <c r="E9" s="86" t="str">
        <v>Minh Hà</v>
      </c>
      <c r="F9" s="86" t="str">
        <v>123A</v>
      </c>
    </row>
    <row r="10" spans="1:6" x14ac:dyDescent="0.25">
      <c r="A10" s="88"/>
      <c r="B10" s="86">
        <v>230</v>
      </c>
      <c r="C10" s="86" t="str">
        <v>Nguyễn Đức Anh</v>
      </c>
      <c r="D10" s="86" t="str">
        <v>Tiên Cát</v>
      </c>
      <c r="E10" s="86" t="str">
        <v>Minh Hà</v>
      </c>
      <c r="F10" s="86" t="str">
        <v>123A</v>
      </c>
    </row>
    <row r="11" spans="1:6" x14ac:dyDescent="0.25">
      <c r="A11" s="88"/>
      <c r="B11" s="86">
        <v>240</v>
      </c>
      <c r="C11" s="86" t="str">
        <v>Nguyễn Đức Anh</v>
      </c>
      <c r="D11" s="86" t="str">
        <v>Tiên Cát</v>
      </c>
      <c r="E11" s="86" t="str">
        <v>Minh Hà</v>
      </c>
      <c r="F11" s="86" t="str">
        <v>123A</v>
      </c>
    </row>
    <row r="12" spans="1:6" x14ac:dyDescent="0.25">
      <c r="A12" s="88"/>
      <c r="B12" s="86" t="str">
        <v>Tạm ứng</v>
      </c>
      <c r="C12" s="86" t="str">
        <v>Nguyễn Đức Anh</v>
      </c>
      <c r="D12" s="86" t="str">
        <v>Tiên Cát</v>
      </c>
      <c r="E12" s="86" t="str">
        <v>Minh Hà</v>
      </c>
      <c r="F12" s="86" t="str">
        <v>123A</v>
      </c>
    </row>
    <row r="13" spans="1:6" x14ac:dyDescent="0.25">
      <c r="A13" s="88"/>
      <c r="B13" s="86"/>
      <c r="C13" s="86"/>
      <c r="D13" s="86"/>
      <c r="E13" s="86"/>
      <c r="F13" s="86"/>
    </row>
    <row r="14" spans="1:6" x14ac:dyDescent="0.25">
      <c r="A14" s="88"/>
      <c r="B14" s="86"/>
      <c r="C14" s="86"/>
      <c r="D14" s="86"/>
      <c r="E14" s="86"/>
      <c r="F14" s="86"/>
    </row>
    <row r="15" spans="1:6" x14ac:dyDescent="0.25">
      <c r="A15" s="88"/>
      <c r="B15" s="86"/>
      <c r="C15" s="86"/>
      <c r="D15" s="86"/>
      <c r="E15" s="86"/>
      <c r="F15" s="86"/>
    </row>
    <row r="16" spans="1:6" x14ac:dyDescent="0.25">
      <c r="A16" s="88"/>
      <c r="B16" s="86"/>
      <c r="C16" s="86"/>
      <c r="D16" s="86"/>
      <c r="E16" s="86"/>
      <c r="F16" s="86"/>
    </row>
    <row r="17" spans="1:6" x14ac:dyDescent="0.25">
      <c r="A17" s="88"/>
      <c r="B17" s="86"/>
      <c r="C17" s="86"/>
      <c r="D17" s="86"/>
      <c r="E17" s="86"/>
      <c r="F17" s="86"/>
    </row>
    <row r="18" spans="1:6" x14ac:dyDescent="0.25">
      <c r="A18" s="88"/>
      <c r="B18" s="86"/>
      <c r="C18" s="86"/>
      <c r="D18" s="86"/>
      <c r="E18" s="86"/>
      <c r="F18" s="86"/>
    </row>
    <row r="19" spans="1:6" x14ac:dyDescent="0.25">
      <c r="A19" s="88"/>
      <c r="B19" s="86"/>
      <c r="C19" s="86"/>
      <c r="D19" s="86"/>
      <c r="E19" s="86"/>
      <c r="F19" s="86"/>
    </row>
    <row r="20" spans="1:6" x14ac:dyDescent="0.25">
      <c r="A20" s="88"/>
      <c r="B20" s="86"/>
      <c r="C20" s="86"/>
      <c r="D20" s="86"/>
      <c r="E20" s="86"/>
      <c r="F20" s="86"/>
    </row>
    <row r="21" spans="1:6" x14ac:dyDescent="0.25">
      <c r="A21" s="88"/>
      <c r="B21" s="86"/>
      <c r="C21" s="86"/>
      <c r="D21" s="86"/>
      <c r="E21" s="86"/>
      <c r="F21" s="86"/>
    </row>
    <row r="22" spans="1:6" x14ac:dyDescent="0.25">
      <c r="A22" s="88"/>
      <c r="B22" s="86"/>
      <c r="C22" s="86"/>
      <c r="D22" s="86"/>
      <c r="E22" s="86"/>
      <c r="F22" s="86"/>
    </row>
    <row r="23" spans="1:6" x14ac:dyDescent="0.25">
      <c r="A23" s="88"/>
      <c r="B23" s="86"/>
      <c r="C23" s="86"/>
      <c r="D23" s="86"/>
      <c r="E23" s="86"/>
      <c r="F23" s="86"/>
    </row>
    <row r="24" spans="1:6" x14ac:dyDescent="0.25">
      <c r="A24" s="88"/>
      <c r="B24" s="86"/>
      <c r="C24" s="86"/>
      <c r="D24" s="86"/>
      <c r="E24" s="86"/>
      <c r="F24" s="86"/>
    </row>
    <row r="25" spans="1:6" x14ac:dyDescent="0.25">
      <c r="A25" s="88"/>
      <c r="B25" s="86"/>
      <c r="C25" s="86"/>
      <c r="D25" s="86"/>
      <c r="E25" s="86"/>
      <c r="F25" s="86"/>
    </row>
    <row r="26" spans="1:6" x14ac:dyDescent="0.25">
      <c r="A26" s="88"/>
      <c r="B26" s="86"/>
      <c r="C26" s="86"/>
      <c r="D26" s="86"/>
      <c r="E26" s="86"/>
      <c r="F26" s="86"/>
    </row>
    <row r="27" spans="1:6" x14ac:dyDescent="0.25">
      <c r="A27" s="88"/>
      <c r="B27" s="86"/>
      <c r="C27" s="86"/>
      <c r="D27" s="86"/>
      <c r="E27" s="86"/>
      <c r="F27" s="86"/>
    </row>
    <row r="28" spans="1:6" x14ac:dyDescent="0.25">
      <c r="A28" s="88"/>
      <c r="B28" s="86"/>
      <c r="C28" s="86"/>
      <c r="D28" s="86"/>
      <c r="E28" s="86"/>
      <c r="F28" s="86"/>
    </row>
    <row r="29" spans="1:6" x14ac:dyDescent="0.25">
      <c r="A29" s="88"/>
      <c r="B29" s="86"/>
      <c r="C29" s="86"/>
      <c r="D29" s="86"/>
      <c r="E29" s="86"/>
      <c r="F29" s="86"/>
    </row>
    <row r="30" spans="1:6" x14ac:dyDescent="0.25">
      <c r="A30" s="88"/>
      <c r="B30" s="86"/>
      <c r="C30" s="86"/>
      <c r="D30" s="86"/>
      <c r="E30" s="86"/>
      <c r="F30" s="86"/>
    </row>
    <row r="31" spans="1:6" x14ac:dyDescent="0.25">
      <c r="A31" s="88"/>
      <c r="B31" s="86"/>
      <c r="C31" s="86"/>
      <c r="D31" s="86"/>
      <c r="E31" s="86"/>
      <c r="F31" s="86"/>
    </row>
    <row r="32" spans="1:6" x14ac:dyDescent="0.25">
      <c r="A32" s="88"/>
      <c r="B32" s="86"/>
      <c r="C32" s="86"/>
      <c r="D32" s="86"/>
      <c r="E32" s="86"/>
      <c r="F32" s="86"/>
    </row>
    <row r="33" spans="1:6" x14ac:dyDescent="0.25">
      <c r="A33" s="88"/>
      <c r="B33" s="86"/>
      <c r="C33" s="86"/>
      <c r="D33" s="86"/>
      <c r="E33" s="86"/>
      <c r="F33" s="86"/>
    </row>
    <row r="34" spans="1:6" x14ac:dyDescent="0.25">
      <c r="A34" s="88"/>
      <c r="B34" s="86"/>
      <c r="C34" s="86"/>
      <c r="D34" s="86"/>
      <c r="E34" s="86"/>
      <c r="F34" s="86"/>
    </row>
    <row r="35" spans="1:6" x14ac:dyDescent="0.25">
      <c r="A35" s="88"/>
      <c r="B35" s="86"/>
      <c r="C35" s="86"/>
      <c r="D35" s="86"/>
      <c r="E35" s="86"/>
      <c r="F35" s="86"/>
    </row>
    <row r="36" spans="1:6" x14ac:dyDescent="0.25">
      <c r="A36" s="88"/>
      <c r="B36" s="86"/>
      <c r="C36" s="86"/>
      <c r="D36" s="86"/>
      <c r="E36" s="86"/>
      <c r="F36" s="86"/>
    </row>
    <row r="37" spans="1:6" x14ac:dyDescent="0.25">
      <c r="A37" s="88"/>
      <c r="B37" s="86"/>
      <c r="C37" s="86"/>
      <c r="D37" s="86"/>
      <c r="E37" s="86"/>
      <c r="F37" s="86"/>
    </row>
    <row r="38" spans="1:6" x14ac:dyDescent="0.25">
      <c r="A38" s="88"/>
      <c r="B38" s="86"/>
      <c r="C38" s="86"/>
      <c r="D38" s="86"/>
      <c r="E38" s="86"/>
      <c r="F38" s="86"/>
    </row>
    <row r="39" spans="1:6" x14ac:dyDescent="0.25">
      <c r="A39" s="88"/>
      <c r="B39" s="86"/>
      <c r="C39" s="86"/>
      <c r="D39" s="86"/>
      <c r="E39" s="86"/>
      <c r="F39" s="86"/>
    </row>
    <row r="40" spans="1:6" x14ac:dyDescent="0.25">
      <c r="A40" s="88"/>
      <c r="B40" s="86"/>
      <c r="C40" s="86"/>
      <c r="D40" s="86"/>
      <c r="E40" s="86"/>
      <c r="F40" s="86"/>
    </row>
    <row r="41" spans="1:6" x14ac:dyDescent="0.25">
      <c r="A41" s="88"/>
      <c r="B41" s="86"/>
      <c r="C41" s="86"/>
      <c r="D41" s="86"/>
      <c r="E41" s="86"/>
      <c r="F41" s="86"/>
    </row>
    <row r="42" spans="1:6" x14ac:dyDescent="0.25">
      <c r="A42" s="88"/>
      <c r="B42" s="86"/>
      <c r="C42" s="86"/>
      <c r="D42" s="86"/>
      <c r="E42" s="86"/>
      <c r="F42" s="86"/>
    </row>
    <row r="43" spans="1:6" x14ac:dyDescent="0.25">
      <c r="A43" s="88"/>
      <c r="B43" s="86"/>
      <c r="C43" s="86"/>
      <c r="D43" s="86"/>
      <c r="E43" s="86"/>
      <c r="F43" s="86"/>
    </row>
    <row r="44" spans="1:6" x14ac:dyDescent="0.25">
      <c r="A44" s="88"/>
      <c r="B44" s="86"/>
      <c r="C44" s="86"/>
      <c r="D44" s="86"/>
      <c r="E44" s="86"/>
      <c r="F44" s="86"/>
    </row>
    <row r="45" spans="1:6" x14ac:dyDescent="0.25">
      <c r="A45" s="88"/>
      <c r="B45" s="86"/>
      <c r="C45" s="86"/>
      <c r="D45" s="86"/>
      <c r="E45" s="86"/>
      <c r="F45" s="86"/>
    </row>
    <row r="46" spans="1:6" x14ac:dyDescent="0.25">
      <c r="A46" s="88"/>
      <c r="B46" s="86"/>
      <c r="C46" s="86"/>
      <c r="D46" s="86"/>
      <c r="E46" s="86"/>
      <c r="F46" s="86"/>
    </row>
    <row r="47" spans="1:6" x14ac:dyDescent="0.25">
      <c r="A47" s="88"/>
      <c r="B47" s="86"/>
      <c r="C47" s="86"/>
      <c r="D47" s="86"/>
      <c r="E47" s="86"/>
      <c r="F47" s="86"/>
    </row>
  </sheetData>
  <mergeCells count="5">
    <mergeCell ref="A1:D1"/>
    <mergeCell ref="A2:D2"/>
    <mergeCell ref="A4:F4"/>
    <mergeCell ref="C7:F7"/>
    <mergeCell ref="A6:F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72BB7-80C1-4A2C-B740-377DC2F52A23}">
  <sheetPr>
    <tabColor rgb="FFFF0000"/>
  </sheetPr>
  <dimension ref="A1:G23"/>
  <sheetViews>
    <sheetView workbookViewId="0">
      <selection activeCell="F5" sqref="F5"/>
    </sheetView>
  </sheetViews>
  <sheetFormatPr defaultColWidth="8.85546875" defaultRowHeight="12.75" x14ac:dyDescent="0.25"/>
  <cols>
    <col min="1" max="1" width="7.7109375" style="16" customWidth="1"/>
    <col min="2" max="5" width="16.42578125" style="16" customWidth="1"/>
    <col min="6" max="6" width="21" style="16" customWidth="1"/>
    <col min="7" max="7" width="11" style="16" customWidth="1"/>
    <col min="8" max="16384" width="8.85546875" style="16"/>
  </cols>
  <sheetData>
    <row r="1" spans="1:7" ht="15.75" x14ac:dyDescent="0.25">
      <c r="A1" s="168" t="s">
        <v>9</v>
      </c>
      <c r="B1" s="168"/>
      <c r="C1" s="168"/>
      <c r="D1" s="168"/>
      <c r="E1" s="3"/>
    </row>
    <row r="2" spans="1:7" ht="15.75" x14ac:dyDescent="0.25">
      <c r="A2" s="168" t="s">
        <v>10</v>
      </c>
      <c r="B2" s="168"/>
      <c r="C2" s="168"/>
      <c r="D2" s="168"/>
      <c r="E2" s="3"/>
    </row>
    <row r="3" spans="1:7" ht="15.75" x14ac:dyDescent="0.25">
      <c r="A3" s="1"/>
      <c r="B3" s="1"/>
      <c r="C3" s="1"/>
      <c r="D3" s="1"/>
      <c r="E3" s="3"/>
    </row>
    <row r="4" spans="1:7" ht="40.15" customHeight="1" x14ac:dyDescent="0.25">
      <c r="A4" s="168" t="s">
        <v>196</v>
      </c>
      <c r="B4" s="168"/>
      <c r="C4" s="168"/>
      <c r="D4" s="168"/>
      <c r="E4" s="168"/>
    </row>
    <row r="5" spans="1:7" ht="25.5" x14ac:dyDescent="0.25">
      <c r="A5" s="73"/>
      <c r="B5" s="73"/>
      <c r="C5" s="73"/>
      <c r="D5" s="18"/>
      <c r="E5" s="73"/>
      <c r="F5" s="16" t="s">
        <v>320</v>
      </c>
    </row>
    <row r="6" spans="1:7" ht="38.25" x14ac:dyDescent="0.25">
      <c r="A6" s="33" t="s">
        <v>0</v>
      </c>
      <c r="B6" s="33" t="s">
        <v>203</v>
      </c>
      <c r="C6" s="34" t="s">
        <v>204</v>
      </c>
      <c r="D6" s="33" t="s">
        <v>205</v>
      </c>
      <c r="E6" s="34" t="s">
        <v>73</v>
      </c>
      <c r="F6" s="16" t="s">
        <v>323</v>
      </c>
      <c r="G6" s="16" t="s">
        <v>324</v>
      </c>
    </row>
    <row r="7" spans="1:7" x14ac:dyDescent="0.25">
      <c r="A7" s="7"/>
      <c r="B7" s="8">
        <v>100</v>
      </c>
      <c r="C7" s="9">
        <f>IF(B7&lt;&gt;"",INDEX(Table6[N/T/N PABT gốc],MATCH(B7,Table6[Số QĐ bồi thường gốc],0)),"")</f>
        <v>45296</v>
      </c>
      <c r="D7" s="8">
        <v>200</v>
      </c>
      <c r="E7" s="9">
        <f>IF(D7&lt;&gt;"",INDEX(Table8[N/T/N GPMB nhanh gốc],MATCH(D7,Table8[Số QĐ thưởng GPMB nhanh gốc],0)),"")</f>
        <v>45301</v>
      </c>
    </row>
    <row r="8" spans="1:7" x14ac:dyDescent="0.25">
      <c r="A8" s="7"/>
      <c r="B8" s="8">
        <v>110</v>
      </c>
      <c r="C8" s="9">
        <f>IF(B8&lt;&gt;"",INDEX(Table6[N/T/N PABT gốc],MATCH(B8,Table6[Số QĐ bồi thường gốc],0)),"")</f>
        <v>45327</v>
      </c>
      <c r="D8" s="8" t="s">
        <v>136</v>
      </c>
      <c r="E8" s="9">
        <f>IF(D8&lt;&gt;"",INDEX(Table8[N/T/N GPMB nhanh gốc],MATCH(D8,Table8[Số QĐ thưởng GPMB nhanh gốc],0)),"")</f>
        <v>0</v>
      </c>
    </row>
    <row r="9" spans="1:7" x14ac:dyDescent="0.25">
      <c r="A9" s="7"/>
      <c r="B9" s="8">
        <v>110</v>
      </c>
      <c r="C9" s="9">
        <f>IF(B9&lt;&gt;"",INDEX(Table6[N/T/N PABT gốc],MATCH(B9,Table6[Số QĐ bồi thường gốc],0)),"")</f>
        <v>45327</v>
      </c>
      <c r="D9" s="8">
        <v>210</v>
      </c>
      <c r="E9" s="9">
        <f>IF(D9&lt;&gt;"",INDEX(Table8[N/T/N GPMB nhanh gốc],MATCH(D9,Table8[Số QĐ thưởng GPMB nhanh gốc],0)),"")</f>
        <v>45337</v>
      </c>
    </row>
    <row r="10" spans="1:7" x14ac:dyDescent="0.25">
      <c r="A10" s="7"/>
      <c r="B10" s="8">
        <v>120</v>
      </c>
      <c r="C10" s="9">
        <f>IF(B10&lt;&gt;"",INDEX(Table6[N/T/N PABT gốc],MATCH(B10,Table6[Số QĐ bồi thường gốc],0)),"")</f>
        <v>45356</v>
      </c>
      <c r="D10" s="8">
        <v>220</v>
      </c>
      <c r="E10" s="9">
        <f>IF(D10&lt;&gt;"",INDEX(Table8[N/T/N GPMB nhanh gốc],MATCH(D10,Table8[Số QĐ thưởng GPMB nhanh gốc],0)),"")</f>
        <v>45361</v>
      </c>
    </row>
    <row r="11" spans="1:7" x14ac:dyDescent="0.25">
      <c r="A11" s="7"/>
      <c r="B11" s="8">
        <v>130</v>
      </c>
      <c r="C11" s="9">
        <f>IF(B11&lt;&gt;"",INDEX(Table6[N/T/N PABT gốc],MATCH(B11,Table6[Số QĐ bồi thường gốc],0)),"")</f>
        <v>45387</v>
      </c>
      <c r="D11" s="8">
        <v>230</v>
      </c>
      <c r="E11" s="9">
        <f>IF(D11&lt;&gt;"",INDEX(Table8[N/T/N GPMB nhanh gốc],MATCH(D11,Table8[Số QĐ thưởng GPMB nhanh gốc],0)),"")</f>
        <v>45392</v>
      </c>
    </row>
    <row r="12" spans="1:7" x14ac:dyDescent="0.25">
      <c r="A12" s="7"/>
      <c r="B12" s="8">
        <v>140</v>
      </c>
      <c r="C12" s="9">
        <f>IF(B12&lt;&gt;"",INDEX(Table6[N/T/N PABT gốc],MATCH(B12,Table6[Số QĐ bồi thường gốc],0)),"")</f>
        <v>45417</v>
      </c>
      <c r="D12" s="8">
        <v>240</v>
      </c>
      <c r="E12" s="9">
        <f>IF(D12&lt;&gt;"",INDEX(Table8[N/T/N GPMB nhanh gốc],MATCH(D12,Table8[Số QĐ thưởng GPMB nhanh gốc],0)),"")</f>
        <v>45422</v>
      </c>
    </row>
    <row r="13" spans="1:7" x14ac:dyDescent="0.25">
      <c r="A13" s="7"/>
      <c r="B13" s="8"/>
      <c r="C13" s="9" t="str">
        <f>IF(B13&lt;&gt;"",INDEX(Table6[N/T/N PABT gốc],MATCH(B13,Table6[Số QĐ bồi thường gốc],0)),"")</f>
        <v/>
      </c>
      <c r="D13" s="8"/>
      <c r="E13" s="9" t="str">
        <f>IF(D13&lt;&gt;"",INDEX(Table8[N/T/N GPMB nhanh gốc],MATCH(D13,Table8[Số QĐ thưởng GPMB nhanh gốc],0)),"")</f>
        <v/>
      </c>
    </row>
    <row r="14" spans="1:7" x14ac:dyDescent="0.25">
      <c r="A14" s="7"/>
      <c r="B14" s="8"/>
      <c r="C14" s="9" t="str">
        <f>IF(B14&lt;&gt;"",INDEX(Table6[N/T/N PABT gốc],MATCH(B14,Table6[Số QĐ bồi thường gốc],0)),"")</f>
        <v/>
      </c>
      <c r="D14" s="8"/>
      <c r="E14" s="9" t="str">
        <f>IF(D14&lt;&gt;"",INDEX(Table8[N/T/N GPMB nhanh gốc],MATCH(D14,Table8[Số QĐ thưởng GPMB nhanh gốc],0)),"")</f>
        <v/>
      </c>
    </row>
    <row r="15" spans="1:7" x14ac:dyDescent="0.25">
      <c r="A15" s="7"/>
      <c r="B15" s="8"/>
      <c r="C15" s="9" t="str">
        <f>IF(B15&lt;&gt;"",INDEX(Table6[N/T/N PABT gốc],MATCH(B15,Table6[Số QĐ bồi thường gốc],0)),"")</f>
        <v/>
      </c>
      <c r="D15" s="8"/>
      <c r="E15" s="9" t="str">
        <f>IF(D15&lt;&gt;"",INDEX(Table8[N/T/N GPMB nhanh gốc],MATCH(D15,Table8[Số QĐ thưởng GPMB nhanh gốc],0)),"")</f>
        <v/>
      </c>
    </row>
    <row r="16" spans="1:7" x14ac:dyDescent="0.25">
      <c r="A16" s="7"/>
      <c r="B16" s="8"/>
      <c r="C16" s="9" t="str">
        <f>IF(B16&lt;&gt;"",INDEX(Table6[N/T/N PABT gốc],MATCH(B16,Table6[Số QĐ bồi thường gốc],0)),"")</f>
        <v/>
      </c>
      <c r="D16" s="8"/>
      <c r="E16" s="9" t="str">
        <f>IF(D16&lt;&gt;"",INDEX(Table8[N/T/N GPMB nhanh gốc],MATCH(D16,Table8[Số QĐ thưởng GPMB nhanh gốc],0)),"")</f>
        <v/>
      </c>
    </row>
    <row r="17" spans="1:5" x14ac:dyDescent="0.25">
      <c r="A17" s="7"/>
      <c r="B17" s="8"/>
      <c r="C17" s="9" t="str">
        <f>IF(B17&lt;&gt;"",INDEX(Table6[N/T/N PABT gốc],MATCH(B17,Table6[Số QĐ bồi thường gốc],0)),"")</f>
        <v/>
      </c>
      <c r="D17" s="8"/>
      <c r="E17" s="9" t="str">
        <f>IF(D17&lt;&gt;"",INDEX(Table8[N/T/N GPMB nhanh gốc],MATCH(D17,Table8[Số QĐ thưởng GPMB nhanh gốc],0)),"")</f>
        <v/>
      </c>
    </row>
    <row r="18" spans="1:5" x14ac:dyDescent="0.25">
      <c r="A18" s="7"/>
      <c r="B18" s="8"/>
      <c r="C18" s="9" t="str">
        <f>IF(B18&lt;&gt;"",INDEX(Table6[N/T/N PABT gốc],MATCH(B18,Table6[Số QĐ bồi thường gốc],0)),"")</f>
        <v/>
      </c>
      <c r="D18" s="8"/>
      <c r="E18" s="9" t="str">
        <f>IF(D18&lt;&gt;"",INDEX(Table8[N/T/N GPMB nhanh gốc],MATCH(D18,Table8[Số QĐ thưởng GPMB nhanh gốc],0)),"")</f>
        <v/>
      </c>
    </row>
    <row r="19" spans="1:5" x14ac:dyDescent="0.25">
      <c r="A19" s="7"/>
      <c r="B19" s="8"/>
      <c r="C19" s="9" t="str">
        <f>IF(B19&lt;&gt;"",INDEX(Table6[N/T/N PABT gốc],MATCH(B19,Table6[Số QĐ bồi thường gốc],0)),"")</f>
        <v/>
      </c>
      <c r="D19" s="8"/>
      <c r="E19" s="9" t="str">
        <f>IF(D19&lt;&gt;"",INDEX(Table8[N/T/N GPMB nhanh gốc],MATCH(D19,Table8[Số QĐ thưởng GPMB nhanh gốc],0)),"")</f>
        <v/>
      </c>
    </row>
    <row r="20" spans="1:5" x14ac:dyDescent="0.25">
      <c r="A20" s="7"/>
      <c r="B20" s="8"/>
      <c r="C20" s="9" t="str">
        <f>IF(B20&lt;&gt;"",INDEX(Table6[N/T/N PABT gốc],MATCH(B20,Table6[Số QĐ bồi thường gốc],0)),"")</f>
        <v/>
      </c>
      <c r="D20" s="8"/>
      <c r="E20" s="9" t="str">
        <f>IF(D20&lt;&gt;"",INDEX(Table8[N/T/N GPMB nhanh gốc],MATCH(D20,Table8[Số QĐ thưởng GPMB nhanh gốc],0)),"")</f>
        <v/>
      </c>
    </row>
    <row r="21" spans="1:5" x14ac:dyDescent="0.25">
      <c r="A21" s="7"/>
      <c r="B21" s="8"/>
      <c r="C21" s="9" t="str">
        <f>IF(B21&lt;&gt;"",INDEX(Table6[N/T/N PABT gốc],MATCH(B21,Table6[Số QĐ bồi thường gốc],0)),"")</f>
        <v/>
      </c>
      <c r="D21" s="8"/>
      <c r="E21" s="9" t="str">
        <f>IF(D21&lt;&gt;"",INDEX(Table8[N/T/N GPMB nhanh gốc],MATCH(D21,Table8[Số QĐ thưởng GPMB nhanh gốc],0)),"")</f>
        <v/>
      </c>
    </row>
    <row r="22" spans="1:5" x14ac:dyDescent="0.25">
      <c r="A22" s="7"/>
      <c r="B22" s="8"/>
      <c r="C22" s="9" t="str">
        <f>IF(B22&lt;&gt;"",INDEX(Table6[N/T/N PABT gốc],MATCH(B22,Table6[Số QĐ bồi thường gốc],0)),"")</f>
        <v/>
      </c>
      <c r="D22" s="8"/>
      <c r="E22" s="9" t="str">
        <f>IF(D22&lt;&gt;"",INDEX(Table8[N/T/N GPMB nhanh gốc],MATCH(D22,Table8[Số QĐ thưởng GPMB nhanh gốc],0)),"")</f>
        <v/>
      </c>
    </row>
    <row r="23" spans="1:5" x14ac:dyDescent="0.25">
      <c r="A23" s="7"/>
      <c r="B23" s="8"/>
      <c r="C23" s="9" t="str">
        <f>IF(B23&lt;&gt;"",INDEX(Table6[N/T/N PABT gốc],MATCH(B23,Table6[Số QĐ bồi thường gốc],0)),"")</f>
        <v/>
      </c>
      <c r="D23" s="8"/>
      <c r="E23" s="9" t="str">
        <f>IF(D23&lt;&gt;"",INDEX(Table8[N/T/N GPMB nhanh gốc],MATCH(D23,Table8[Số QĐ thưởng GPMB nhanh gốc],0)),"")</f>
        <v/>
      </c>
    </row>
  </sheetData>
  <mergeCells count="3">
    <mergeCell ref="A1:D1"/>
    <mergeCell ref="A2:D2"/>
    <mergeCell ref="A4:E4"/>
  </mergeCells>
  <dataValidations count="2">
    <dataValidation type="list" allowBlank="1" showInputMessage="1" showErrorMessage="1" sqref="B7:B23" xr:uid="{32731F6B-47A1-4BC8-BCB6-8D20546BD299}">
      <formula1>Số_QĐ_phương_án_bồi_thường_gốc</formula1>
    </dataValidation>
    <dataValidation type="list" allowBlank="1" showInputMessage="1" showErrorMessage="1" sqref="D7:D23" xr:uid="{D772E738-0D7B-49B9-9A17-FF40FDAB43DE}">
      <formula1>Số_QĐ_thưởng_GPMB_nhanh_gốc</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0A89-DFEC-47A0-A729-21C1374D9C81}">
  <sheetPr>
    <tabColor rgb="FFFF0000"/>
  </sheetPr>
  <dimension ref="A1:G18"/>
  <sheetViews>
    <sheetView workbookViewId="0">
      <selection activeCell="G9" sqref="G9"/>
    </sheetView>
  </sheetViews>
  <sheetFormatPr defaultColWidth="8.85546875" defaultRowHeight="12.75" x14ac:dyDescent="0.25"/>
  <cols>
    <col min="1" max="1" width="7.28515625" style="16" customWidth="1"/>
    <col min="2" max="5" width="28.7109375" style="16" customWidth="1"/>
    <col min="6" max="6" width="35" style="16" customWidth="1"/>
    <col min="7" max="7" width="18" style="16" customWidth="1"/>
    <col min="8" max="16384" width="8.85546875" style="16"/>
  </cols>
  <sheetData>
    <row r="1" spans="1:7" ht="15.75" x14ac:dyDescent="0.25">
      <c r="A1" s="168" t="s">
        <v>9</v>
      </c>
      <c r="B1" s="168"/>
      <c r="C1" s="168"/>
      <c r="D1" s="168"/>
      <c r="E1" s="3"/>
    </row>
    <row r="2" spans="1:7" ht="15.75" x14ac:dyDescent="0.25">
      <c r="A2" s="168" t="s">
        <v>10</v>
      </c>
      <c r="B2" s="168"/>
      <c r="C2" s="168"/>
      <c r="D2" s="168"/>
      <c r="E2" s="3"/>
    </row>
    <row r="3" spans="1:7" ht="15.75" x14ac:dyDescent="0.25">
      <c r="A3" s="2"/>
      <c r="B3" s="2"/>
      <c r="C3" s="3"/>
      <c r="D3" s="2"/>
      <c r="E3" s="3"/>
    </row>
    <row r="4" spans="1:7" ht="15.75" x14ac:dyDescent="0.25">
      <c r="A4" s="168" t="s">
        <v>131</v>
      </c>
      <c r="B4" s="168"/>
      <c r="C4" s="168"/>
      <c r="D4" s="168"/>
      <c r="E4" s="168"/>
    </row>
    <row r="5" spans="1:7" ht="38.25" x14ac:dyDescent="0.25">
      <c r="A5" s="73"/>
      <c r="B5" s="73"/>
      <c r="C5" s="73"/>
      <c r="D5" s="73"/>
      <c r="E5" s="73"/>
      <c r="F5" s="16" t="s">
        <v>319</v>
      </c>
    </row>
    <row r="6" spans="1:7" ht="51" x14ac:dyDescent="0.25">
      <c r="A6" s="33" t="s">
        <v>0</v>
      </c>
      <c r="B6" s="33" t="s">
        <v>71</v>
      </c>
      <c r="C6" s="34" t="s">
        <v>74</v>
      </c>
      <c r="D6" s="33" t="s">
        <v>151</v>
      </c>
      <c r="E6" s="34" t="s">
        <v>72</v>
      </c>
      <c r="F6" s="16" t="s">
        <v>321</v>
      </c>
      <c r="G6" s="16" t="s">
        <v>322</v>
      </c>
    </row>
    <row r="7" spans="1:7" x14ac:dyDescent="0.25">
      <c r="A7" s="7"/>
      <c r="B7" s="8"/>
      <c r="C7" s="9" t="str">
        <f>IF(B7&lt;&gt;"",INDEX(Table6[N/T/N PABT gốc],MATCH(B7,Table6[Số QĐ bồi thường gốc],0)),"")</f>
        <v/>
      </c>
      <c r="D7" s="8"/>
      <c r="E7" s="9" t="str">
        <f>IF(D7&lt;&gt;"",INDEX(Table7[N/T/N],MATCH(D7,Table7[Số QĐ thu hồi đất gốc],0)),"")</f>
        <v/>
      </c>
    </row>
    <row r="8" spans="1:7" x14ac:dyDescent="0.25">
      <c r="A8" s="7"/>
      <c r="B8" s="8"/>
      <c r="C8" s="9" t="str">
        <f>IF(B8&lt;&gt;"",INDEX(Table6[N/T/N PABT gốc],MATCH(B8,Table6[Số QĐ bồi thường gốc],0)),"")</f>
        <v/>
      </c>
      <c r="D8" s="8"/>
      <c r="E8" s="9" t="str">
        <f>IF(D8&lt;&gt;"",INDEX(Table7[N/T/N],MATCH(D8,Table7[Số QĐ thu hồi đất gốc],0)),"")</f>
        <v/>
      </c>
    </row>
    <row r="9" spans="1:7" x14ac:dyDescent="0.25">
      <c r="A9" s="7"/>
      <c r="B9" s="8"/>
      <c r="C9" s="9" t="str">
        <f>IF(B9&lt;&gt;"",INDEX(Table6[N/T/N PABT gốc],MATCH(B9,Table6[Số QĐ bồi thường gốc],0)),"")</f>
        <v/>
      </c>
      <c r="D9" s="8"/>
      <c r="E9" s="9" t="str">
        <f>IF(D9&lt;&gt;"",INDEX(Table7[N/T/N],MATCH(D9,Table7[Số QĐ thu hồi đất gốc],0)),"")</f>
        <v/>
      </c>
    </row>
    <row r="10" spans="1:7" x14ac:dyDescent="0.25">
      <c r="A10" s="7"/>
      <c r="B10" s="8"/>
      <c r="C10" s="9" t="str">
        <f>IF(B10&lt;&gt;"",INDEX(Table6[N/T/N PABT gốc],MATCH(B10,Table6[Số QĐ bồi thường gốc],0)),"")</f>
        <v/>
      </c>
      <c r="D10" s="8"/>
      <c r="E10" s="9" t="str">
        <f>IF(D10&lt;&gt;"",INDEX(Table7[N/T/N],MATCH(D10,Table7[Số QĐ thu hồi đất gốc],0)),"")</f>
        <v/>
      </c>
    </row>
    <row r="11" spans="1:7" x14ac:dyDescent="0.25">
      <c r="A11" s="7"/>
      <c r="B11" s="8"/>
      <c r="C11" s="9" t="str">
        <f>IF(B11&lt;&gt;"",INDEX(Table6[N/T/N PABT gốc],MATCH(B11,Table6[Số QĐ bồi thường gốc],0)),"")</f>
        <v/>
      </c>
      <c r="D11" s="8"/>
      <c r="E11" s="9" t="str">
        <f>IF(D11&lt;&gt;"",INDEX(Table7[N/T/N],MATCH(D11,Table7[Số QĐ thu hồi đất gốc],0)),"")</f>
        <v/>
      </c>
    </row>
    <row r="12" spans="1:7" x14ac:dyDescent="0.25">
      <c r="A12" s="7"/>
      <c r="B12" s="8"/>
      <c r="C12" s="9" t="str">
        <f>IF(B12&lt;&gt;"",INDEX(Table6[N/T/N PABT gốc],MATCH(B12,Table6[Số QĐ bồi thường gốc],0)),"")</f>
        <v/>
      </c>
      <c r="D12" s="8"/>
      <c r="E12" s="9" t="str">
        <f>IF(D12&lt;&gt;"",INDEX(Table7[N/T/N],MATCH(D12,Table7[Số QĐ thu hồi đất gốc],0)),"")</f>
        <v/>
      </c>
    </row>
    <row r="13" spans="1:7" x14ac:dyDescent="0.25">
      <c r="A13" s="7"/>
      <c r="B13" s="8"/>
      <c r="C13" s="9" t="str">
        <f>IF(B13&lt;&gt;"",INDEX(Table6[N/T/N PABT gốc],MATCH(B13,Table6[Số QĐ bồi thường gốc],0)),"")</f>
        <v/>
      </c>
      <c r="D13" s="8"/>
      <c r="E13" s="9" t="str">
        <f>IF(D13&lt;&gt;"",INDEX(Table7[N/T/N],MATCH(D13,Table7[Số QĐ thu hồi đất gốc],0)),"")</f>
        <v/>
      </c>
    </row>
    <row r="14" spans="1:7" x14ac:dyDescent="0.25">
      <c r="A14" s="7"/>
      <c r="B14" s="8"/>
      <c r="C14" s="9" t="str">
        <f>IF(B14&lt;&gt;"",INDEX(Table6[N/T/N PABT gốc],MATCH(B14,Table6[Số QĐ bồi thường gốc],0)),"")</f>
        <v/>
      </c>
      <c r="D14" s="8"/>
      <c r="E14" s="9" t="str">
        <f>IF(D14&lt;&gt;"",INDEX(Table7[N/T/N],MATCH(D14,Table7[Số QĐ thu hồi đất gốc],0)),"")</f>
        <v/>
      </c>
    </row>
    <row r="15" spans="1:7" x14ac:dyDescent="0.25">
      <c r="A15" s="7"/>
      <c r="B15" s="8"/>
      <c r="C15" s="9" t="str">
        <f>IF(B15&lt;&gt;"",INDEX(Table6[N/T/N PABT gốc],MATCH(B15,Table6[Số QĐ bồi thường gốc],0)),"")</f>
        <v/>
      </c>
      <c r="D15" s="8"/>
      <c r="E15" s="9" t="str">
        <f>IF(D15&lt;&gt;"",INDEX(Table7[N/T/N],MATCH(D15,Table7[Số QĐ thu hồi đất gốc],0)),"")</f>
        <v/>
      </c>
    </row>
    <row r="16" spans="1:7" x14ac:dyDescent="0.25">
      <c r="A16" s="7"/>
      <c r="B16" s="8"/>
      <c r="C16" s="9" t="str">
        <f>IF(B16&lt;&gt;"",INDEX(Table6[N/T/N PABT gốc],MATCH(B16,Table6[Số QĐ bồi thường gốc],0)),"")</f>
        <v/>
      </c>
      <c r="D16" s="8"/>
      <c r="E16" s="9" t="str">
        <f>IF(D16&lt;&gt;"",INDEX(Table7[N/T/N],MATCH(D16,Table7[Số QĐ thu hồi đất gốc],0)),"")</f>
        <v/>
      </c>
    </row>
    <row r="17" spans="1:5" x14ac:dyDescent="0.25">
      <c r="A17" s="7"/>
      <c r="B17" s="8"/>
      <c r="C17" s="9" t="str">
        <f>IF(B17&lt;&gt;"",INDEX(Table6[N/T/N PABT gốc],MATCH(B17,Table6[Số QĐ bồi thường gốc],0)),"")</f>
        <v/>
      </c>
      <c r="D17" s="8"/>
      <c r="E17" s="9" t="str">
        <f>IF(D17&lt;&gt;"",INDEX(Table7[N/T/N],MATCH(D17,Table7[Số QĐ thu hồi đất gốc],0)),"")</f>
        <v/>
      </c>
    </row>
    <row r="18" spans="1:5" x14ac:dyDescent="0.25">
      <c r="A18" s="7"/>
      <c r="B18" s="8"/>
      <c r="C18" s="9" t="str">
        <f>IF(B18&lt;&gt;"",INDEX(Table6[N/T/N PABT gốc],MATCH(B18,Table6[Số QĐ bồi thường gốc],0)),"")</f>
        <v/>
      </c>
      <c r="D18" s="8"/>
      <c r="E18" s="9" t="str">
        <f>IF(D18&lt;&gt;"",INDEX(Table7[N/T/N],MATCH(D18,Table7[Số QĐ thu hồi đất gốc],0)),"")</f>
        <v/>
      </c>
    </row>
  </sheetData>
  <mergeCells count="3">
    <mergeCell ref="A1:D1"/>
    <mergeCell ref="A2:D2"/>
    <mergeCell ref="A4:E4"/>
  </mergeCells>
  <dataValidations count="1">
    <dataValidation type="list" allowBlank="1" showInputMessage="1" showErrorMessage="1" sqref="D7:D18 B8:B18" xr:uid="{CFA36059-D8BF-442F-8EF3-809940B1306A}">
      <formula1>Số_QĐ_thu_hồi_đất_gốc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5B885E8-76F5-4792-A21F-C3C4D14810D0}">
          <x14:formula1>
            <xm:f>'DM PABT'!$F$7:$F$12</xm:f>
          </x14:formula1>
          <xm:sqref>B7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01A0-4214-4EE6-9104-B56848B3B77F}">
  <sheetPr>
    <tabColor rgb="FFFF0000"/>
  </sheetPr>
  <dimension ref="A1:H21"/>
  <sheetViews>
    <sheetView workbookViewId="0">
      <selection activeCell="F5" sqref="F5"/>
    </sheetView>
  </sheetViews>
  <sheetFormatPr defaultColWidth="8.85546875" defaultRowHeight="12.75" x14ac:dyDescent="0.25"/>
  <cols>
    <col min="1" max="1" width="6.7109375" style="16" customWidth="1"/>
    <col min="2" max="2" width="24.42578125" style="16" customWidth="1"/>
    <col min="3" max="3" width="21.28515625" style="26" customWidth="1"/>
    <col min="4" max="4" width="24.42578125" style="16" customWidth="1"/>
    <col min="5" max="5" width="21.28515625" style="17" customWidth="1"/>
    <col min="6" max="6" width="13.85546875" style="16" customWidth="1"/>
    <col min="7" max="7" width="8.140625" style="16" bestFit="1" customWidth="1"/>
    <col min="8" max="8" width="8.7109375" style="16" bestFit="1" customWidth="1"/>
    <col min="9" max="16384" width="8.85546875" style="16"/>
  </cols>
  <sheetData>
    <row r="1" spans="1:8" ht="15.75" x14ac:dyDescent="0.25">
      <c r="A1" s="168" t="s">
        <v>9</v>
      </c>
      <c r="B1" s="168"/>
      <c r="C1" s="168"/>
      <c r="D1" s="2"/>
      <c r="E1" s="3"/>
    </row>
    <row r="2" spans="1:8" ht="15.75" x14ac:dyDescent="0.25">
      <c r="A2" s="168" t="s">
        <v>10</v>
      </c>
      <c r="B2" s="168"/>
      <c r="C2" s="168"/>
      <c r="D2" s="2"/>
      <c r="E2" s="3"/>
    </row>
    <row r="3" spans="1:8" ht="15.75" x14ac:dyDescent="0.25">
      <c r="A3" s="1"/>
      <c r="B3" s="1"/>
      <c r="C3" s="20"/>
      <c r="D3" s="2"/>
      <c r="E3" s="3"/>
    </row>
    <row r="4" spans="1:8" ht="30.6" customHeight="1" x14ac:dyDescent="0.25">
      <c r="A4" s="168" t="s">
        <v>195</v>
      </c>
      <c r="B4" s="168"/>
      <c r="C4" s="168"/>
      <c r="D4" s="168"/>
      <c r="E4" s="168"/>
    </row>
    <row r="5" spans="1:8" ht="25.5" x14ac:dyDescent="0.25">
      <c r="B5" s="18"/>
      <c r="F5" s="16" t="s">
        <v>325</v>
      </c>
    </row>
    <row r="6" spans="1:8" ht="38.25" x14ac:dyDescent="0.25">
      <c r="A6" s="33" t="s">
        <v>0</v>
      </c>
      <c r="B6" s="33" t="s">
        <v>200</v>
      </c>
      <c r="C6" s="34" t="s">
        <v>206</v>
      </c>
      <c r="D6" s="33" t="s">
        <v>207</v>
      </c>
      <c r="E6" s="34" t="s">
        <v>208</v>
      </c>
      <c r="F6" s="16" t="s">
        <v>323</v>
      </c>
      <c r="G6" s="16" t="s">
        <v>326</v>
      </c>
      <c r="H6" s="16" t="s">
        <v>327</v>
      </c>
    </row>
    <row r="7" spans="1:8" x14ac:dyDescent="0.25">
      <c r="A7" s="7">
        <v>1</v>
      </c>
      <c r="B7" s="8">
        <v>100</v>
      </c>
      <c r="C7" s="9">
        <f>IF(B7&lt;&gt;"",INDEX(Table6[N/T/N PABT gốc],MATCH(B7,Table6[Số QĐ bồi thường gốc],0)),"")</f>
        <v>45296</v>
      </c>
      <c r="D7" s="7" t="s">
        <v>136</v>
      </c>
      <c r="E7" s="67"/>
    </row>
    <row r="8" spans="1:8" x14ac:dyDescent="0.25">
      <c r="A8" s="7">
        <v>2</v>
      </c>
      <c r="B8" s="8">
        <v>100</v>
      </c>
      <c r="C8" s="9">
        <f>IF(B8&lt;&gt;"",INDEX(Table6[N/T/N PABT gốc],MATCH(B8,Table6[Số QĐ bồi thường gốc],0)),"")</f>
        <v>45296</v>
      </c>
      <c r="D8" s="7">
        <v>101</v>
      </c>
      <c r="E8" s="67">
        <v>45301</v>
      </c>
    </row>
    <row r="9" spans="1:8" x14ac:dyDescent="0.25">
      <c r="A9" s="7">
        <v>3</v>
      </c>
      <c r="B9" s="8">
        <v>110</v>
      </c>
      <c r="C9" s="9">
        <f>IF(B9&lt;&gt;"",INDEX(Table6[N/T/N PABT gốc],MATCH(B9,Table6[Số QĐ bồi thường gốc],0)),"")</f>
        <v>45327</v>
      </c>
      <c r="D9" s="7" t="s">
        <v>136</v>
      </c>
      <c r="E9" s="67"/>
    </row>
    <row r="10" spans="1:8" x14ac:dyDescent="0.25">
      <c r="A10" s="7">
        <v>4</v>
      </c>
      <c r="B10" s="8">
        <v>110</v>
      </c>
      <c r="C10" s="9">
        <f>IF(B10&lt;&gt;"",INDEX(Table6[N/T/N PABT gốc],MATCH(B10,Table6[Số QĐ bồi thường gốc],0)),"")</f>
        <v>45327</v>
      </c>
      <c r="D10" s="7">
        <v>111</v>
      </c>
      <c r="E10" s="67">
        <v>45332</v>
      </c>
    </row>
    <row r="11" spans="1:8" x14ac:dyDescent="0.25">
      <c r="A11" s="7">
        <v>5</v>
      </c>
      <c r="B11" s="8">
        <v>120</v>
      </c>
      <c r="C11" s="9">
        <f>IF(B11&lt;&gt;"",INDEX(Table6[N/T/N PABT gốc],MATCH(B11,Table6[Số QĐ bồi thường gốc],0)),"")</f>
        <v>45356</v>
      </c>
      <c r="D11" s="7" t="s">
        <v>136</v>
      </c>
      <c r="E11" s="67"/>
    </row>
    <row r="12" spans="1:8" x14ac:dyDescent="0.25">
      <c r="A12" s="7">
        <v>6</v>
      </c>
      <c r="B12" s="8">
        <v>120</v>
      </c>
      <c r="C12" s="9">
        <f>IF(B12&lt;&gt;"",INDEX(Table6[N/T/N PABT gốc],MATCH(B12,Table6[Số QĐ bồi thường gốc],0)),"")</f>
        <v>45356</v>
      </c>
      <c r="D12" s="7">
        <v>121</v>
      </c>
      <c r="E12" s="67">
        <v>45361</v>
      </c>
    </row>
    <row r="13" spans="1:8" x14ac:dyDescent="0.25">
      <c r="A13" s="7">
        <v>7</v>
      </c>
      <c r="B13" s="8">
        <v>130</v>
      </c>
      <c r="C13" s="9">
        <f>IF(B13&lt;&gt;"",INDEX(Table6[N/T/N PABT gốc],MATCH(B13,Table6[Số QĐ bồi thường gốc],0)),"")</f>
        <v>45387</v>
      </c>
      <c r="D13" s="7" t="s">
        <v>136</v>
      </c>
      <c r="E13" s="67"/>
    </row>
    <row r="14" spans="1:8" x14ac:dyDescent="0.25">
      <c r="A14" s="7">
        <v>8</v>
      </c>
      <c r="B14" s="8">
        <v>130</v>
      </c>
      <c r="C14" s="9">
        <f>IF(B14&lt;&gt;"",INDEX(Table6[N/T/N PABT gốc],MATCH(B14,Table6[Số QĐ bồi thường gốc],0)),"")</f>
        <v>45387</v>
      </c>
      <c r="D14" s="7">
        <v>131</v>
      </c>
      <c r="E14" s="67">
        <v>45392</v>
      </c>
    </row>
    <row r="15" spans="1:8" x14ac:dyDescent="0.25">
      <c r="A15" s="7">
        <v>9</v>
      </c>
      <c r="B15" s="8">
        <v>130</v>
      </c>
      <c r="C15" s="9">
        <f>IF(B15&lt;&gt;"",INDEX(Table6[N/T/N PABT gốc],MATCH(B15,Table6[Số QĐ bồi thường gốc],0)),"")</f>
        <v>45387</v>
      </c>
      <c r="D15" s="7">
        <v>132</v>
      </c>
      <c r="E15" s="67">
        <v>45397</v>
      </c>
    </row>
    <row r="16" spans="1:8" x14ac:dyDescent="0.25">
      <c r="A16" s="7">
        <v>10</v>
      </c>
      <c r="B16" s="8">
        <v>140</v>
      </c>
      <c r="C16" s="9">
        <f>IF(B16&lt;&gt;"",INDEX(Table6[N/T/N PABT gốc],MATCH(B16,Table6[Số QĐ bồi thường gốc],0)),"")</f>
        <v>45417</v>
      </c>
      <c r="D16" s="7">
        <v>141</v>
      </c>
      <c r="E16" s="67">
        <v>45427</v>
      </c>
    </row>
    <row r="17" spans="1:5" x14ac:dyDescent="0.25">
      <c r="A17" s="7">
        <v>11</v>
      </c>
      <c r="B17" s="8"/>
      <c r="C17" s="9" t="str">
        <f>IF(B17&lt;&gt;"",INDEX(Table6[N/T/N PABT gốc],MATCH(B17,Table6[Số QĐ bồi thường gốc],0)),"")</f>
        <v/>
      </c>
      <c r="D17" s="7"/>
      <c r="E17" s="67"/>
    </row>
    <row r="18" spans="1:5" x14ac:dyDescent="0.25">
      <c r="A18" s="7">
        <v>12</v>
      </c>
      <c r="B18" s="8"/>
      <c r="C18" s="9" t="str">
        <f>IF(B18&lt;&gt;"",INDEX(Table6[N/T/N PABT gốc],MATCH(B18,Table6[Số QĐ bồi thường gốc],0)),"")</f>
        <v/>
      </c>
      <c r="D18" s="7"/>
      <c r="E18" s="67"/>
    </row>
    <row r="19" spans="1:5" x14ac:dyDescent="0.25">
      <c r="A19" s="7">
        <v>13</v>
      </c>
      <c r="B19" s="8"/>
      <c r="C19" s="9" t="str">
        <f>IF(B19&lt;&gt;"",INDEX(Table6[N/T/N PABT gốc],MATCH(B19,Table6[Số QĐ bồi thường gốc],0)),"")</f>
        <v/>
      </c>
      <c r="D19" s="7"/>
      <c r="E19" s="67"/>
    </row>
    <row r="20" spans="1:5" x14ac:dyDescent="0.25">
      <c r="A20" s="7">
        <v>14</v>
      </c>
      <c r="B20" s="8"/>
      <c r="C20" s="9" t="str">
        <f>IF(B20&lt;&gt;"",INDEX(Table6[N/T/N PABT gốc],MATCH(B20,Table6[Số QĐ bồi thường gốc],0)),"")</f>
        <v/>
      </c>
      <c r="D20" s="7"/>
      <c r="E20" s="67"/>
    </row>
    <row r="21" spans="1:5" x14ac:dyDescent="0.25">
      <c r="A21" s="7">
        <v>15</v>
      </c>
      <c r="B21" s="8"/>
      <c r="C21" s="9" t="str">
        <f>IF(B21&lt;&gt;"",INDEX(Table6[N/T/N PABT gốc],MATCH(B21,Table6[Số QĐ bồi thường gốc],0)),"")</f>
        <v/>
      </c>
      <c r="D21" s="7"/>
      <c r="E21" s="67"/>
    </row>
  </sheetData>
  <mergeCells count="3">
    <mergeCell ref="A1:C1"/>
    <mergeCell ref="A2:C2"/>
    <mergeCell ref="A4:E4"/>
  </mergeCells>
  <dataValidations count="1">
    <dataValidation type="list" allowBlank="1" showInputMessage="1" showErrorMessage="1" sqref="B8:B21" xr:uid="{8F29D749-08F6-4F67-B1FF-3EBBDA71DEC4}">
      <formula1>Số_QĐ_phương_án_bồi_thường_gốc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DE3D73-7C32-4C1D-91B3-B997277365F0}">
          <x14:formula1>
            <xm:f>'DM PABT'!$B$7:$B$13</xm:f>
          </x14:formula1>
          <xm:sqref>B7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8E0AF-6A8D-4A15-A419-F3E3DA21A41D}">
  <sheetPr>
    <tabColor rgb="FFFF0000"/>
  </sheetPr>
  <dimension ref="A1:H28"/>
  <sheetViews>
    <sheetView workbookViewId="0">
      <selection activeCell="F5" sqref="F5"/>
    </sheetView>
  </sheetViews>
  <sheetFormatPr defaultColWidth="8.85546875" defaultRowHeight="12.75" x14ac:dyDescent="0.25"/>
  <cols>
    <col min="1" max="1" width="9.85546875" style="16" customWidth="1"/>
    <col min="2" max="2" width="19.140625" style="13" customWidth="1"/>
    <col min="3" max="3" width="21.28515625" style="26" customWidth="1"/>
    <col min="4" max="4" width="17.7109375" style="16" customWidth="1"/>
    <col min="5" max="5" width="21.5703125" style="17" customWidth="1"/>
    <col min="6" max="6" width="8.85546875" style="16"/>
    <col min="7" max="7" width="19" style="16" customWidth="1"/>
    <col min="8" max="16384" width="8.85546875" style="16"/>
  </cols>
  <sheetData>
    <row r="1" spans="1:8" ht="15.75" x14ac:dyDescent="0.25">
      <c r="A1" s="168" t="s">
        <v>9</v>
      </c>
      <c r="B1" s="168"/>
      <c r="C1" s="168"/>
      <c r="D1" s="168"/>
      <c r="E1" s="3"/>
    </row>
    <row r="2" spans="1:8" ht="15.75" x14ac:dyDescent="0.25">
      <c r="A2" s="168" t="s">
        <v>10</v>
      </c>
      <c r="B2" s="168"/>
      <c r="C2" s="168"/>
      <c r="D2" s="168"/>
      <c r="E2" s="3"/>
    </row>
    <row r="3" spans="1:8" ht="15.75" x14ac:dyDescent="0.25">
      <c r="A3" s="1"/>
      <c r="B3" s="1"/>
      <c r="C3" s="20"/>
      <c r="D3" s="2"/>
      <c r="E3" s="3"/>
    </row>
    <row r="4" spans="1:8" ht="31.9" customHeight="1" x14ac:dyDescent="0.25">
      <c r="A4" s="168" t="s">
        <v>191</v>
      </c>
      <c r="B4" s="168"/>
      <c r="C4" s="168"/>
      <c r="D4" s="168"/>
      <c r="E4" s="168"/>
    </row>
    <row r="5" spans="1:8" ht="38.25" x14ac:dyDescent="0.25">
      <c r="F5" s="16" t="s">
        <v>330</v>
      </c>
    </row>
    <row r="6" spans="1:8" ht="51" x14ac:dyDescent="0.25">
      <c r="A6" s="33" t="s">
        <v>0</v>
      </c>
      <c r="B6" s="33" t="s">
        <v>69</v>
      </c>
      <c r="C6" s="34" t="s">
        <v>13</v>
      </c>
      <c r="D6" s="33" t="s">
        <v>17</v>
      </c>
      <c r="E6" s="34" t="s">
        <v>16</v>
      </c>
      <c r="F6" s="16" t="s">
        <v>324</v>
      </c>
      <c r="G6" s="16" t="s">
        <v>328</v>
      </c>
      <c r="H6" s="16" t="s">
        <v>329</v>
      </c>
    </row>
    <row r="7" spans="1:8" x14ac:dyDescent="0.25">
      <c r="A7" s="7">
        <v>1</v>
      </c>
      <c r="B7" s="8">
        <v>220</v>
      </c>
      <c r="C7" s="9">
        <f>IF(B7&lt;&gt;"",INDEX(Table8[N/T/N GPMB nhanh gốc],MATCH(B7,Table8[Số QĐ thưởng GPMB nhanh gốc],0)),"")</f>
        <v>45361</v>
      </c>
      <c r="D7" s="7">
        <v>221</v>
      </c>
      <c r="E7" s="67">
        <v>45366</v>
      </c>
    </row>
    <row r="8" spans="1:8" x14ac:dyDescent="0.25">
      <c r="A8" s="7">
        <f>A7+1</f>
        <v>2</v>
      </c>
      <c r="B8" s="8">
        <v>230</v>
      </c>
      <c r="C8" s="9">
        <f>IF(B8&lt;&gt;"",INDEX(Table8[N/T/N GPMB nhanh gốc],MATCH(B8,Table8[Số QĐ thưởng GPMB nhanh gốc],0)),"")</f>
        <v>45392</v>
      </c>
      <c r="D8" s="7">
        <v>231</v>
      </c>
      <c r="E8" s="67">
        <v>45397</v>
      </c>
    </row>
    <row r="9" spans="1:8" x14ac:dyDescent="0.25">
      <c r="A9" s="7">
        <f t="shared" ref="A9:A28" si="0">A8+1</f>
        <v>3</v>
      </c>
      <c r="B9" s="8">
        <v>230</v>
      </c>
      <c r="C9" s="9">
        <f>IF(B9&lt;&gt;"",INDEX(Table8[N/T/N GPMB nhanh gốc],MATCH(B9,Table8[Số QĐ thưởng GPMB nhanh gốc],0)),"")</f>
        <v>45392</v>
      </c>
      <c r="D9" s="7" t="s">
        <v>136</v>
      </c>
      <c r="E9" s="67">
        <v>45402</v>
      </c>
    </row>
    <row r="10" spans="1:8" x14ac:dyDescent="0.25">
      <c r="A10" s="7">
        <f t="shared" si="0"/>
        <v>4</v>
      </c>
      <c r="B10" s="8">
        <v>230</v>
      </c>
      <c r="C10" s="9">
        <f>IF(B10&lt;&gt;"",INDEX(Table8[N/T/N GPMB nhanh gốc],MATCH(B10,Table8[Số QĐ thưởng GPMB nhanh gốc],0)),"")</f>
        <v>45392</v>
      </c>
      <c r="D10" s="7">
        <v>232</v>
      </c>
      <c r="E10" s="67">
        <v>45407</v>
      </c>
    </row>
    <row r="11" spans="1:8" x14ac:dyDescent="0.25">
      <c r="A11" s="7">
        <f t="shared" si="0"/>
        <v>5</v>
      </c>
      <c r="B11" s="8">
        <v>240</v>
      </c>
      <c r="C11" s="9">
        <f>IF(B11&lt;&gt;"",INDEX(Table8[N/T/N GPMB nhanh gốc],MATCH(B11,Table8[Số QĐ thưởng GPMB nhanh gốc],0)),"")</f>
        <v>45422</v>
      </c>
      <c r="D11" s="7">
        <v>241</v>
      </c>
      <c r="E11" s="67">
        <v>45432</v>
      </c>
    </row>
    <row r="12" spans="1:8" x14ac:dyDescent="0.25">
      <c r="A12" s="7">
        <f t="shared" si="0"/>
        <v>6</v>
      </c>
      <c r="B12" s="8"/>
      <c r="C12" s="9" t="str">
        <f>IF(B12&lt;&gt;"",INDEX(Table8[N/T/N GPMB nhanh gốc],MATCH(B12,Table8[Số QĐ thưởng GPMB nhanh gốc],0)),"")</f>
        <v/>
      </c>
      <c r="D12" s="7"/>
      <c r="E12" s="67"/>
    </row>
    <row r="13" spans="1:8" x14ac:dyDescent="0.25">
      <c r="A13" s="7">
        <f t="shared" si="0"/>
        <v>7</v>
      </c>
      <c r="B13" s="8"/>
      <c r="C13" s="9" t="str">
        <f>IF(B13&lt;&gt;"",INDEX(Table8[N/T/N GPMB nhanh gốc],MATCH(B13,Table8[Số QĐ thưởng GPMB nhanh gốc],0)),"")</f>
        <v/>
      </c>
      <c r="D13" s="7"/>
      <c r="E13" s="67"/>
    </row>
    <row r="14" spans="1:8" x14ac:dyDescent="0.25">
      <c r="A14" s="7">
        <f t="shared" si="0"/>
        <v>8</v>
      </c>
      <c r="B14" s="8"/>
      <c r="C14" s="9" t="str">
        <f>IF(B14&lt;&gt;"",INDEX(Table8[N/T/N GPMB nhanh gốc],MATCH(B14,Table8[Số QĐ thưởng GPMB nhanh gốc],0)),"")</f>
        <v/>
      </c>
      <c r="D14" s="7"/>
      <c r="E14" s="67"/>
    </row>
    <row r="15" spans="1:8" x14ac:dyDescent="0.25">
      <c r="A15" s="7">
        <f t="shared" si="0"/>
        <v>9</v>
      </c>
      <c r="B15" s="8"/>
      <c r="C15" s="9" t="str">
        <f>IF(B15&lt;&gt;"",INDEX(Table8[N/T/N GPMB nhanh gốc],MATCH(B15,Table8[Số QĐ thưởng GPMB nhanh gốc],0)),"")</f>
        <v/>
      </c>
      <c r="D15" s="7"/>
      <c r="E15" s="67"/>
    </row>
    <row r="16" spans="1:8" x14ac:dyDescent="0.25">
      <c r="A16" s="7">
        <f t="shared" si="0"/>
        <v>10</v>
      </c>
      <c r="B16" s="8"/>
      <c r="C16" s="9" t="str">
        <f>IF(B16&lt;&gt;"",INDEX(Table8[N/T/N GPMB nhanh gốc],MATCH(B16,Table8[Số QĐ thưởng GPMB nhanh gốc],0)),"")</f>
        <v/>
      </c>
      <c r="D16" s="7"/>
      <c r="E16" s="67"/>
    </row>
    <row r="17" spans="1:5" x14ac:dyDescent="0.25">
      <c r="A17" s="7">
        <f t="shared" si="0"/>
        <v>11</v>
      </c>
      <c r="B17" s="8"/>
      <c r="C17" s="9" t="str">
        <f>IF(B17&lt;&gt;"",INDEX(Table8[N/T/N GPMB nhanh gốc],MATCH(B17,Table8[Số QĐ thưởng GPMB nhanh gốc],0)),"")</f>
        <v/>
      </c>
      <c r="D17" s="7"/>
      <c r="E17" s="67"/>
    </row>
    <row r="18" spans="1:5" x14ac:dyDescent="0.25">
      <c r="A18" s="7">
        <f t="shared" si="0"/>
        <v>12</v>
      </c>
      <c r="B18" s="8"/>
      <c r="C18" s="9" t="str">
        <f>IF(B18&lt;&gt;"",INDEX(Table8[N/T/N GPMB nhanh gốc],MATCH(B18,Table8[Số QĐ thưởng GPMB nhanh gốc],0)),"")</f>
        <v/>
      </c>
      <c r="D18" s="7"/>
      <c r="E18" s="67"/>
    </row>
    <row r="19" spans="1:5" x14ac:dyDescent="0.25">
      <c r="A19" s="7">
        <f t="shared" si="0"/>
        <v>13</v>
      </c>
      <c r="B19" s="8"/>
      <c r="C19" s="9" t="str">
        <f>IF(B19&lt;&gt;"",INDEX(Table8[N/T/N GPMB nhanh gốc],MATCH(B19,Table8[Số QĐ thưởng GPMB nhanh gốc],0)),"")</f>
        <v/>
      </c>
      <c r="D19" s="7"/>
      <c r="E19" s="67"/>
    </row>
    <row r="20" spans="1:5" x14ac:dyDescent="0.25">
      <c r="A20" s="7">
        <f t="shared" si="0"/>
        <v>14</v>
      </c>
      <c r="B20" s="8"/>
      <c r="C20" s="9" t="str">
        <f>IF(B20&lt;&gt;"",INDEX(Table8[N/T/N GPMB nhanh gốc],MATCH(B20,Table8[Số QĐ thưởng GPMB nhanh gốc],0)),"")</f>
        <v/>
      </c>
      <c r="D20" s="7"/>
      <c r="E20" s="67"/>
    </row>
    <row r="21" spans="1:5" x14ac:dyDescent="0.25">
      <c r="A21" s="7">
        <f t="shared" si="0"/>
        <v>15</v>
      </c>
      <c r="B21" s="8"/>
      <c r="C21" s="9" t="str">
        <f>IF(B21&lt;&gt;"",INDEX(Table8[N/T/N GPMB nhanh gốc],MATCH(B21,Table8[Số QĐ thưởng GPMB nhanh gốc],0)),"")</f>
        <v/>
      </c>
      <c r="D21" s="7"/>
      <c r="E21" s="67"/>
    </row>
    <row r="22" spans="1:5" x14ac:dyDescent="0.25">
      <c r="A22" s="7">
        <f t="shared" si="0"/>
        <v>16</v>
      </c>
      <c r="B22" s="8"/>
      <c r="C22" s="9" t="str">
        <f>IF(B22&lt;&gt;"",INDEX(Table8[N/T/N GPMB nhanh gốc],MATCH(B22,Table8[Số QĐ thưởng GPMB nhanh gốc],0)),"")</f>
        <v/>
      </c>
      <c r="D22" s="7"/>
      <c r="E22" s="67"/>
    </row>
    <row r="23" spans="1:5" x14ac:dyDescent="0.25">
      <c r="A23" s="7">
        <f t="shared" si="0"/>
        <v>17</v>
      </c>
      <c r="B23" s="8"/>
      <c r="C23" s="9" t="str">
        <f>IF(B23&lt;&gt;"",INDEX(Table8[N/T/N GPMB nhanh gốc],MATCH(B23,Table8[Số QĐ thưởng GPMB nhanh gốc],0)),"")</f>
        <v/>
      </c>
      <c r="D23" s="7"/>
      <c r="E23" s="67"/>
    </row>
    <row r="24" spans="1:5" x14ac:dyDescent="0.25">
      <c r="A24" s="7">
        <f t="shared" si="0"/>
        <v>18</v>
      </c>
      <c r="B24" s="8"/>
      <c r="C24" s="9" t="str">
        <f>IF(B24&lt;&gt;"",INDEX(Table8[N/T/N GPMB nhanh gốc],MATCH(B24,Table8[Số QĐ thưởng GPMB nhanh gốc],0)),"")</f>
        <v/>
      </c>
      <c r="D24" s="7"/>
      <c r="E24" s="67"/>
    </row>
    <row r="25" spans="1:5" x14ac:dyDescent="0.25">
      <c r="A25" s="7">
        <f t="shared" si="0"/>
        <v>19</v>
      </c>
      <c r="B25" s="8"/>
      <c r="C25" s="9" t="str">
        <f>IF(B25&lt;&gt;"",INDEX(Table8[N/T/N GPMB nhanh gốc],MATCH(B25,Table8[Số QĐ thưởng GPMB nhanh gốc],0)),"")</f>
        <v/>
      </c>
      <c r="D25" s="7"/>
      <c r="E25" s="67"/>
    </row>
    <row r="26" spans="1:5" x14ac:dyDescent="0.25">
      <c r="A26" s="7">
        <f t="shared" si="0"/>
        <v>20</v>
      </c>
      <c r="B26" s="8"/>
      <c r="C26" s="9" t="str">
        <f>IF(B26&lt;&gt;"",INDEX(Table8[N/T/N GPMB nhanh gốc],MATCH(B26,Table8[Số QĐ thưởng GPMB nhanh gốc],0)),"")</f>
        <v/>
      </c>
      <c r="D26" s="7"/>
      <c r="E26" s="67"/>
    </row>
    <row r="27" spans="1:5" x14ac:dyDescent="0.25">
      <c r="A27" s="7">
        <f t="shared" si="0"/>
        <v>21</v>
      </c>
      <c r="B27" s="8"/>
      <c r="C27" s="9" t="str">
        <f>IF(B27&lt;&gt;"",INDEX(Table8[N/T/N GPMB nhanh gốc],MATCH(B27,Table8[Số QĐ thưởng GPMB nhanh gốc],0)),"")</f>
        <v/>
      </c>
      <c r="D27" s="7"/>
      <c r="E27" s="67"/>
    </row>
    <row r="28" spans="1:5" x14ac:dyDescent="0.25">
      <c r="A28" s="7">
        <f t="shared" si="0"/>
        <v>22</v>
      </c>
      <c r="B28" s="8"/>
      <c r="C28" s="9" t="str">
        <f>IF(B28&lt;&gt;"",INDEX(Table8[N/T/N GPMB nhanh gốc],MATCH(B28,Table8[Số QĐ thưởng GPMB nhanh gốc],0)),"")</f>
        <v/>
      </c>
      <c r="D28" s="7"/>
      <c r="E28" s="67"/>
    </row>
  </sheetData>
  <mergeCells count="3">
    <mergeCell ref="A1:D1"/>
    <mergeCell ref="A2:D2"/>
    <mergeCell ref="A4:E4"/>
  </mergeCells>
  <dataValidations count="1">
    <dataValidation type="list" allowBlank="1" showInputMessage="1" showErrorMessage="1" sqref="B8:B28" xr:uid="{DC3C7C01-0C10-4DB9-9B88-11CA77DC1605}">
      <formula1>Số_QĐ_thưởng_GPMB_nhanh_gốc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E3CE77-A7E3-4F6F-986F-A5E5812EDF44}">
          <x14:formula1>
            <xm:f>'DM PABT'!$J$7:$J$13</xm:f>
          </x14:formula1>
          <xm:sqref>B7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EF8B-3CDA-4E40-B874-851DB6E258D0}">
  <sheetPr>
    <tabColor rgb="FFFF0000"/>
  </sheetPr>
  <dimension ref="A1:H16"/>
  <sheetViews>
    <sheetView workbookViewId="0">
      <selection activeCell="L30" sqref="L30"/>
    </sheetView>
  </sheetViews>
  <sheetFormatPr defaultColWidth="8.85546875" defaultRowHeight="12.75" x14ac:dyDescent="0.25"/>
  <cols>
    <col min="1" max="1" width="6.7109375" style="16" customWidth="1"/>
    <col min="2" max="2" width="24.42578125" style="13" customWidth="1"/>
    <col min="3" max="3" width="15.140625" style="26" customWidth="1"/>
    <col min="4" max="4" width="24.42578125" style="16" customWidth="1"/>
    <col min="5" max="5" width="15.140625" style="17" customWidth="1"/>
    <col min="6" max="6" width="12.85546875" style="16" customWidth="1"/>
    <col min="7" max="7" width="12.28515625" style="16" customWidth="1"/>
    <col min="8" max="16384" width="8.85546875" style="16"/>
  </cols>
  <sheetData>
    <row r="1" spans="1:8" ht="15.75" x14ac:dyDescent="0.25">
      <c r="A1" s="168" t="s">
        <v>9</v>
      </c>
      <c r="B1" s="168"/>
      <c r="C1" s="168"/>
      <c r="D1" s="2"/>
      <c r="E1" s="3"/>
    </row>
    <row r="2" spans="1:8" ht="15.75" x14ac:dyDescent="0.25">
      <c r="A2" s="168" t="s">
        <v>10</v>
      </c>
      <c r="B2" s="168"/>
      <c r="C2" s="168"/>
      <c r="D2" s="2"/>
      <c r="E2" s="3"/>
    </row>
    <row r="3" spans="1:8" ht="15.75" x14ac:dyDescent="0.25">
      <c r="A3" s="1"/>
      <c r="B3" s="1"/>
      <c r="C3" s="20"/>
      <c r="D3" s="2"/>
      <c r="E3" s="3"/>
    </row>
    <row r="4" spans="1:8" ht="27.6" customHeight="1" x14ac:dyDescent="0.25">
      <c r="A4" s="168" t="s">
        <v>197</v>
      </c>
      <c r="B4" s="168"/>
      <c r="C4" s="168"/>
      <c r="D4" s="168"/>
      <c r="E4" s="168"/>
    </row>
    <row r="5" spans="1:8" ht="38.25" x14ac:dyDescent="0.25">
      <c r="B5" s="29"/>
      <c r="F5" s="16" t="s">
        <v>331</v>
      </c>
    </row>
    <row r="6" spans="1:8" ht="25.5" x14ac:dyDescent="0.25">
      <c r="A6" s="33" t="s">
        <v>0</v>
      </c>
      <c r="B6" s="33" t="s">
        <v>12</v>
      </c>
      <c r="C6" s="34" t="s">
        <v>13</v>
      </c>
      <c r="D6" s="33" t="s">
        <v>14</v>
      </c>
      <c r="E6" s="34" t="s">
        <v>15</v>
      </c>
      <c r="F6" s="16" t="s">
        <v>321</v>
      </c>
      <c r="G6" s="16" t="s">
        <v>332</v>
      </c>
      <c r="H6" s="16" t="s">
        <v>329</v>
      </c>
    </row>
    <row r="7" spans="1:8" x14ac:dyDescent="0.25">
      <c r="A7" s="7"/>
      <c r="B7" s="8"/>
      <c r="C7" s="9" t="str">
        <f>IF(B7&lt;&gt;"",INDEX(Table7[N/T/N],MATCH(B7,Table7[Số QĐ thu hồi đất gốc],0)),"")</f>
        <v/>
      </c>
      <c r="D7" s="7"/>
      <c r="E7" s="67"/>
    </row>
    <row r="8" spans="1:8" x14ac:dyDescent="0.25">
      <c r="A8" s="7"/>
      <c r="B8" s="8"/>
      <c r="C8" s="9" t="str">
        <f>IF(B8&lt;&gt;"",INDEX(Table7[N/T/N],MATCH(B8,Table7[Số QĐ thu hồi đất gốc],0)),"")</f>
        <v/>
      </c>
      <c r="D8" s="7"/>
      <c r="E8" s="67"/>
    </row>
    <row r="9" spans="1:8" x14ac:dyDescent="0.25">
      <c r="A9" s="7"/>
      <c r="B9" s="8"/>
      <c r="C9" s="9" t="str">
        <f>IF(B9&lt;&gt;"",INDEX(Table7[N/T/N],MATCH(B9,Table7[Số QĐ thu hồi đất gốc],0)),"")</f>
        <v/>
      </c>
      <c r="D9" s="7"/>
      <c r="E9" s="67"/>
    </row>
    <row r="10" spans="1:8" x14ac:dyDescent="0.25">
      <c r="A10" s="7"/>
      <c r="B10" s="8"/>
      <c r="C10" s="9" t="str">
        <f>IF(B10&lt;&gt;"",INDEX(Table7[N/T/N],MATCH(B10,Table7[Số QĐ thu hồi đất gốc],0)),"")</f>
        <v/>
      </c>
      <c r="D10" s="7"/>
      <c r="E10" s="67"/>
    </row>
    <row r="11" spans="1:8" x14ac:dyDescent="0.25">
      <c r="A11" s="7"/>
      <c r="B11" s="8"/>
      <c r="C11" s="9" t="str">
        <f>IF(B11&lt;&gt;"",INDEX(Table7[N/T/N],MATCH(B11,Table7[Số QĐ thu hồi đất gốc],0)),"")</f>
        <v/>
      </c>
      <c r="D11" s="7"/>
      <c r="E11" s="67"/>
    </row>
    <row r="12" spans="1:8" x14ac:dyDescent="0.25">
      <c r="A12" s="7"/>
      <c r="B12" s="8"/>
      <c r="C12" s="9" t="str">
        <f>IF(B12&lt;&gt;"",INDEX(Table7[N/T/N],MATCH(B12,Table7[Số QĐ thu hồi đất gốc],0)),"")</f>
        <v/>
      </c>
      <c r="D12" s="7"/>
      <c r="E12" s="67"/>
    </row>
    <row r="13" spans="1:8" x14ac:dyDescent="0.25">
      <c r="A13" s="7"/>
      <c r="B13" s="8"/>
      <c r="C13" s="9" t="str">
        <f>IF(B13&lt;&gt;"",INDEX(Table7[N/T/N],MATCH(B13,Table7[Số QĐ thu hồi đất gốc],0)),"")</f>
        <v/>
      </c>
      <c r="D13" s="7"/>
      <c r="E13" s="67"/>
    </row>
    <row r="14" spans="1:8" x14ac:dyDescent="0.25">
      <c r="A14" s="7"/>
      <c r="B14" s="8"/>
      <c r="C14" s="9" t="str">
        <f>IF(B14&lt;&gt;"",INDEX(Table7[N/T/N],MATCH(B14,Table7[Số QĐ thu hồi đất gốc],0)),"")</f>
        <v/>
      </c>
      <c r="D14" s="7"/>
      <c r="E14" s="67"/>
    </row>
    <row r="15" spans="1:8" x14ac:dyDescent="0.25">
      <c r="A15" s="7"/>
      <c r="B15" s="8"/>
      <c r="C15" s="9" t="str">
        <f>IF(B15&lt;&gt;"",INDEX(Table7[N/T/N],MATCH(B15,Table7[Số QĐ thu hồi đất gốc],0)),"")</f>
        <v/>
      </c>
      <c r="D15" s="7"/>
      <c r="E15" s="67"/>
    </row>
    <row r="16" spans="1:8" x14ac:dyDescent="0.25">
      <c r="A16" s="7"/>
      <c r="B16" s="8"/>
      <c r="C16" s="9" t="str">
        <f>IF(B16&lt;&gt;"",INDEX(Table7[N/T/N],MATCH(B16,Table7[Số QĐ thu hồi đất gốc],0)),"")</f>
        <v/>
      </c>
      <c r="D16" s="7"/>
      <c r="E16" s="67"/>
    </row>
  </sheetData>
  <mergeCells count="3">
    <mergeCell ref="A1:C1"/>
    <mergeCell ref="A2:C2"/>
    <mergeCell ref="A4:E4"/>
  </mergeCells>
  <dataValidations count="1">
    <dataValidation type="list" allowBlank="1" showInputMessage="1" showErrorMessage="1" sqref="B8:B16" xr:uid="{22A98F89-4DBC-45ED-8318-7B32E1774FAA}">
      <formula1>Số_QĐ_thu_hồi_đất_gốc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6F12A09-100F-4B16-9B7E-6CE286118949}">
          <x14:formula1>
            <xm:f>'DM PABT'!$F$7:$F$12</xm:f>
          </x14:formula1>
          <xm:sqref>B7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FEE3-D629-4FC9-99F9-4194DF514DE7}">
  <sheetPr>
    <tabColor rgb="FF92D050"/>
  </sheetPr>
  <dimension ref="A1:F27"/>
  <sheetViews>
    <sheetView topLeftCell="A4" workbookViewId="0">
      <selection activeCell="G30" sqref="G30"/>
    </sheetView>
  </sheetViews>
  <sheetFormatPr defaultColWidth="8.85546875" defaultRowHeight="12.75" x14ac:dyDescent="0.25"/>
  <cols>
    <col min="1" max="1" width="6" style="16" customWidth="1"/>
    <col min="2" max="2" width="33.5703125" style="16" customWidth="1"/>
    <col min="3" max="3" width="16.28515625" style="16" customWidth="1"/>
    <col min="4" max="6" width="21.28515625" style="16" customWidth="1"/>
    <col min="7" max="16384" width="8.85546875" style="16"/>
  </cols>
  <sheetData>
    <row r="1" spans="1:6" ht="15.75" x14ac:dyDescent="0.25">
      <c r="A1" s="168" t="s">
        <v>9</v>
      </c>
      <c r="B1" s="168"/>
      <c r="C1" s="168"/>
      <c r="D1" s="168"/>
      <c r="E1" s="54"/>
      <c r="F1" s="53"/>
    </row>
    <row r="2" spans="1:6" ht="15.75" x14ac:dyDescent="0.25">
      <c r="A2" s="168" t="s">
        <v>10</v>
      </c>
      <c r="B2" s="168"/>
      <c r="C2" s="168"/>
      <c r="D2" s="168"/>
      <c r="E2" s="54"/>
      <c r="F2" s="53"/>
    </row>
    <row r="3" spans="1:6" ht="15.75" x14ac:dyDescent="0.25">
      <c r="A3" s="2"/>
      <c r="B3" s="2"/>
      <c r="C3" s="2"/>
      <c r="D3" s="54"/>
      <c r="E3" s="54"/>
      <c r="F3" s="53"/>
    </row>
    <row r="4" spans="1:6" ht="15.75" x14ac:dyDescent="0.25">
      <c r="A4" s="171" t="s">
        <v>11</v>
      </c>
      <c r="B4" s="171"/>
      <c r="C4" s="171"/>
      <c r="D4" s="171"/>
      <c r="E4" s="171"/>
      <c r="F4" s="171"/>
    </row>
    <row r="5" spans="1:6" ht="15.75" x14ac:dyDescent="0.25">
      <c r="A5" s="168" t="s">
        <v>18</v>
      </c>
      <c r="B5" s="168"/>
      <c r="C5" s="168"/>
      <c r="D5" s="168"/>
      <c r="E5" s="168"/>
      <c r="F5" s="168"/>
    </row>
    <row r="6" spans="1:6" x14ac:dyDescent="0.25">
      <c r="A6" s="13"/>
      <c r="B6" s="13"/>
      <c r="C6" s="13"/>
      <c r="D6" s="69"/>
      <c r="E6" s="69"/>
      <c r="F6" s="52"/>
    </row>
    <row r="7" spans="1:6" ht="25.5" x14ac:dyDescent="0.25">
      <c r="A7" s="8" t="s">
        <v>0</v>
      </c>
      <c r="B7" s="8" t="s">
        <v>19</v>
      </c>
      <c r="C7" s="8" t="s">
        <v>20</v>
      </c>
      <c r="D7" s="70" t="s">
        <v>21</v>
      </c>
      <c r="E7" s="70" t="s">
        <v>22</v>
      </c>
      <c r="F7" s="71" t="s">
        <v>23</v>
      </c>
    </row>
    <row r="8" spans="1:6" x14ac:dyDescent="0.25">
      <c r="A8" s="170" t="s">
        <v>24</v>
      </c>
      <c r="B8" s="170"/>
      <c r="C8" s="170"/>
      <c r="D8" s="32"/>
      <c r="E8" s="32"/>
      <c r="F8" s="32"/>
    </row>
    <row r="9" spans="1:6" x14ac:dyDescent="0.25">
      <c r="A9" s="72">
        <v>1</v>
      </c>
      <c r="B9" s="7" t="s">
        <v>25</v>
      </c>
      <c r="C9" s="72" t="s">
        <v>24</v>
      </c>
      <c r="D9" s="7"/>
      <c r="E9" s="7"/>
      <c r="F9" s="7"/>
    </row>
    <row r="10" spans="1:6" x14ac:dyDescent="0.25">
      <c r="A10" s="72">
        <v>2</v>
      </c>
      <c r="B10" s="7" t="s">
        <v>26</v>
      </c>
      <c r="C10" s="72" t="s">
        <v>24</v>
      </c>
      <c r="D10" s="7"/>
      <c r="E10" s="7"/>
      <c r="F10" s="7"/>
    </row>
    <row r="11" spans="1:6" x14ac:dyDescent="0.25">
      <c r="A11" s="72">
        <v>3</v>
      </c>
      <c r="B11" s="7" t="s">
        <v>27</v>
      </c>
      <c r="C11" s="72" t="s">
        <v>24</v>
      </c>
      <c r="D11" s="7"/>
      <c r="E11" s="7"/>
      <c r="F11" s="7"/>
    </row>
    <row r="12" spans="1:6" x14ac:dyDescent="0.25">
      <c r="A12" s="72">
        <v>4</v>
      </c>
      <c r="B12" s="7" t="s">
        <v>28</v>
      </c>
      <c r="C12" s="72" t="s">
        <v>24</v>
      </c>
      <c r="D12" s="7"/>
      <c r="E12" s="7"/>
      <c r="F12" s="7"/>
    </row>
    <row r="13" spans="1:6" x14ac:dyDescent="0.25">
      <c r="A13" s="72">
        <v>5</v>
      </c>
      <c r="B13" s="7" t="s">
        <v>29</v>
      </c>
      <c r="C13" s="72" t="s">
        <v>24</v>
      </c>
      <c r="D13" s="7"/>
      <c r="E13" s="7"/>
      <c r="F13" s="7"/>
    </row>
    <row r="14" spans="1:6" x14ac:dyDescent="0.25">
      <c r="A14" s="72">
        <v>6</v>
      </c>
      <c r="B14" s="7" t="s">
        <v>30</v>
      </c>
      <c r="C14" s="72" t="s">
        <v>24</v>
      </c>
      <c r="D14" s="7"/>
      <c r="E14" s="7"/>
      <c r="F14" s="7"/>
    </row>
    <row r="15" spans="1:6" x14ac:dyDescent="0.25">
      <c r="A15" s="72">
        <v>7</v>
      </c>
      <c r="B15" s="7" t="s">
        <v>31</v>
      </c>
      <c r="C15" s="72" t="s">
        <v>24</v>
      </c>
      <c r="D15" s="7"/>
      <c r="E15" s="7"/>
      <c r="F15" s="7"/>
    </row>
    <row r="16" spans="1:6" x14ac:dyDescent="0.25">
      <c r="A16" s="72">
        <v>8</v>
      </c>
      <c r="B16" s="7" t="s">
        <v>32</v>
      </c>
      <c r="C16" s="72" t="s">
        <v>24</v>
      </c>
      <c r="D16" s="7"/>
      <c r="E16" s="7"/>
      <c r="F16" s="7"/>
    </row>
    <row r="17" spans="1:6" x14ac:dyDescent="0.25">
      <c r="A17" s="72">
        <v>9</v>
      </c>
      <c r="B17" s="7" t="s">
        <v>33</v>
      </c>
      <c r="C17" s="72" t="s">
        <v>24</v>
      </c>
      <c r="D17" s="7"/>
      <c r="E17" s="7"/>
      <c r="F17" s="7"/>
    </row>
    <row r="18" spans="1:6" x14ac:dyDescent="0.25">
      <c r="A18" s="170" t="s">
        <v>34</v>
      </c>
      <c r="B18" s="170"/>
      <c r="C18" s="170"/>
      <c r="D18" s="32"/>
      <c r="E18" s="32"/>
      <c r="F18" s="32"/>
    </row>
    <row r="19" spans="1:6" x14ac:dyDescent="0.25">
      <c r="A19" s="7">
        <v>1</v>
      </c>
      <c r="B19" s="7" t="s">
        <v>25</v>
      </c>
      <c r="C19" s="7">
        <v>2018</v>
      </c>
      <c r="D19" s="7"/>
      <c r="E19" s="7"/>
      <c r="F19" s="7"/>
    </row>
    <row r="20" spans="1:6" x14ac:dyDescent="0.25">
      <c r="A20" s="7">
        <v>2</v>
      </c>
      <c r="B20" s="7" t="s">
        <v>26</v>
      </c>
      <c r="C20" s="7">
        <v>2018</v>
      </c>
      <c r="D20" s="7"/>
      <c r="E20" s="7"/>
      <c r="F20" s="7"/>
    </row>
    <row r="21" spans="1:6" x14ac:dyDescent="0.25">
      <c r="A21" s="7">
        <v>3</v>
      </c>
      <c r="B21" s="7" t="s">
        <v>27</v>
      </c>
      <c r="C21" s="7">
        <v>2018</v>
      </c>
      <c r="D21" s="7"/>
      <c r="E21" s="7"/>
      <c r="F21" s="7"/>
    </row>
    <row r="22" spans="1:6" x14ac:dyDescent="0.25">
      <c r="A22" s="7">
        <v>4</v>
      </c>
      <c r="B22" s="7" t="s">
        <v>28</v>
      </c>
      <c r="C22" s="7">
        <v>2018</v>
      </c>
      <c r="D22" s="7"/>
      <c r="E22" s="7"/>
      <c r="F22" s="7"/>
    </row>
    <row r="23" spans="1:6" x14ac:dyDescent="0.25">
      <c r="A23" s="7">
        <v>5</v>
      </c>
      <c r="B23" s="7" t="s">
        <v>29</v>
      </c>
      <c r="C23" s="7">
        <v>2018</v>
      </c>
      <c r="D23" s="7"/>
      <c r="E23" s="7"/>
      <c r="F23" s="7"/>
    </row>
    <row r="24" spans="1:6" x14ac:dyDescent="0.25">
      <c r="A24" s="7">
        <v>6</v>
      </c>
      <c r="B24" s="7" t="s">
        <v>30</v>
      </c>
      <c r="C24" s="7">
        <v>2018</v>
      </c>
      <c r="D24" s="7"/>
      <c r="E24" s="7"/>
      <c r="F24" s="7"/>
    </row>
    <row r="25" spans="1:6" x14ac:dyDescent="0.25">
      <c r="A25" s="7">
        <v>7</v>
      </c>
      <c r="B25" s="7" t="s">
        <v>31</v>
      </c>
      <c r="C25" s="7">
        <v>2018</v>
      </c>
      <c r="D25" s="7"/>
      <c r="E25" s="7"/>
      <c r="F25" s="7"/>
    </row>
    <row r="26" spans="1:6" x14ac:dyDescent="0.25">
      <c r="A26" s="7">
        <v>8</v>
      </c>
      <c r="B26" s="7" t="s">
        <v>32</v>
      </c>
      <c r="C26" s="7">
        <v>2018</v>
      </c>
      <c r="D26" s="7"/>
      <c r="E26" s="7"/>
      <c r="F26" s="7"/>
    </row>
    <row r="27" spans="1:6" x14ac:dyDescent="0.25">
      <c r="A27" s="7">
        <v>9</v>
      </c>
      <c r="B27" s="7" t="s">
        <v>33</v>
      </c>
      <c r="C27" s="7">
        <v>2018</v>
      </c>
      <c r="D27" s="7"/>
      <c r="E27" s="7"/>
      <c r="F27" s="7"/>
    </row>
  </sheetData>
  <mergeCells count="6">
    <mergeCell ref="A8:C8"/>
    <mergeCell ref="A18:C18"/>
    <mergeCell ref="A1:D1"/>
    <mergeCell ref="A2:D2"/>
    <mergeCell ref="A4:F4"/>
    <mergeCell ref="A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91F7-E935-4DD2-8042-21FF5CF2D9B1}">
  <sheetPr>
    <tabColor rgb="FFFF0000"/>
  </sheetPr>
  <dimension ref="A1:AE33"/>
  <sheetViews>
    <sheetView tabSelected="1" zoomScale="90" zoomScaleNormal="90" workbookViewId="0">
      <selection activeCell="J8" sqref="J8:M8"/>
    </sheetView>
  </sheetViews>
  <sheetFormatPr defaultColWidth="8.85546875" defaultRowHeight="12.75" x14ac:dyDescent="0.25"/>
  <cols>
    <col min="1" max="1" width="10.42578125" style="16" bestFit="1" customWidth="1"/>
    <col min="2" max="2" width="11.7109375" style="13" customWidth="1"/>
    <col min="3" max="3" width="11.28515625" style="16" customWidth="1"/>
    <col min="4" max="4" width="14.140625" style="16" customWidth="1"/>
    <col min="5" max="5" width="12.7109375" style="17" customWidth="1"/>
    <col min="6" max="8" width="12.7109375" style="16" customWidth="1"/>
    <col min="9" max="9" width="12.7109375" style="17" customWidth="1"/>
    <col min="10" max="10" width="24.42578125" style="16" customWidth="1"/>
    <col min="11" max="11" width="11.7109375" style="16" customWidth="1"/>
    <col min="12" max="12" width="11.140625" style="16" customWidth="1"/>
    <col min="13" max="13" width="14" style="16" customWidth="1"/>
    <col min="14" max="14" width="15.7109375" style="51" bestFit="1" customWidth="1"/>
    <col min="15" max="15" width="14" style="51" customWidth="1"/>
    <col min="16" max="16" width="14" style="110" customWidth="1"/>
    <col min="17" max="17" width="14" style="15" customWidth="1"/>
    <col min="18" max="31" width="10.7109375" style="27" customWidth="1"/>
    <col min="32" max="16384" width="8.85546875" style="16"/>
  </cols>
  <sheetData>
    <row r="1" spans="1:31" ht="13.9" customHeight="1" x14ac:dyDescent="0.25">
      <c r="A1" s="168" t="s">
        <v>9</v>
      </c>
      <c r="B1" s="168"/>
      <c r="C1" s="168"/>
      <c r="D1" s="168"/>
      <c r="E1" s="168"/>
      <c r="F1" s="49"/>
      <c r="G1" s="49"/>
      <c r="H1" s="49"/>
      <c r="I1" s="57"/>
      <c r="J1" s="49"/>
      <c r="K1" s="53"/>
      <c r="L1" s="2"/>
      <c r="M1" s="2"/>
      <c r="N1" s="46"/>
    </row>
    <row r="2" spans="1:31" ht="13.9" customHeight="1" x14ac:dyDescent="0.25">
      <c r="A2" s="168" t="s">
        <v>10</v>
      </c>
      <c r="B2" s="168"/>
      <c r="C2" s="168"/>
      <c r="D2" s="168"/>
      <c r="E2" s="168"/>
      <c r="F2" s="49"/>
      <c r="G2" s="49"/>
      <c r="H2" s="49"/>
      <c r="I2" s="57"/>
      <c r="N2" s="46"/>
    </row>
    <row r="3" spans="1:31" ht="15.75" x14ac:dyDescent="0.25">
      <c r="A3" s="2"/>
      <c r="B3" s="1"/>
      <c r="C3" s="2"/>
      <c r="D3" s="54"/>
      <c r="E3" s="58"/>
      <c r="F3" s="54"/>
      <c r="G3" s="54"/>
      <c r="H3" s="54"/>
      <c r="I3" s="58"/>
      <c r="J3" s="54"/>
      <c r="K3" s="53"/>
      <c r="L3" s="2"/>
      <c r="M3" s="2"/>
      <c r="N3" s="46"/>
    </row>
    <row r="4" spans="1:31" ht="15.75" x14ac:dyDescent="0.25">
      <c r="A4" s="168" t="s">
        <v>202</v>
      </c>
      <c r="B4" s="168"/>
      <c r="C4" s="168"/>
      <c r="D4" s="168"/>
      <c r="E4" s="168"/>
      <c r="F4" s="168"/>
      <c r="G4" s="168"/>
      <c r="H4" s="168"/>
      <c r="I4" s="168"/>
      <c r="J4" s="168"/>
      <c r="K4" s="168"/>
      <c r="L4" s="168"/>
      <c r="M4" s="168"/>
      <c r="N4" s="168"/>
      <c r="O4" s="168"/>
      <c r="P4" s="168"/>
      <c r="Q4" s="168"/>
      <c r="R4" s="43"/>
      <c r="S4" s="43"/>
      <c r="T4" s="43"/>
      <c r="U4" s="43"/>
      <c r="V4" s="43"/>
      <c r="W4" s="43"/>
      <c r="X4" s="43"/>
      <c r="Y4" s="43"/>
      <c r="Z4" s="43"/>
      <c r="AA4" s="43"/>
    </row>
    <row r="6" spans="1:31" ht="13.9" customHeight="1" x14ac:dyDescent="0.25">
      <c r="A6" s="7"/>
      <c r="B6" s="172" t="s">
        <v>35</v>
      </c>
      <c r="C6" s="173"/>
      <c r="D6" s="173"/>
      <c r="E6" s="173"/>
      <c r="F6" s="180" t="s">
        <v>60</v>
      </c>
      <c r="G6" s="180"/>
      <c r="H6" s="180"/>
      <c r="I6" s="180"/>
      <c r="J6" s="174" t="s">
        <v>40</v>
      </c>
      <c r="K6" s="175"/>
      <c r="L6" s="175"/>
      <c r="M6" s="175"/>
      <c r="N6" s="176" t="s">
        <v>61</v>
      </c>
      <c r="O6" s="176"/>
      <c r="P6" s="176"/>
      <c r="Q6" s="177" t="s">
        <v>55</v>
      </c>
      <c r="R6" s="178"/>
      <c r="S6" s="178"/>
      <c r="T6" s="178"/>
      <c r="U6" s="178"/>
      <c r="V6" s="178"/>
      <c r="W6" s="178"/>
      <c r="X6" s="178"/>
      <c r="Y6" s="178"/>
      <c r="Z6" s="178"/>
      <c r="AA6" s="178"/>
      <c r="AB6" s="178"/>
      <c r="AC6" s="178"/>
      <c r="AD6" s="178"/>
      <c r="AE6" s="179"/>
    </row>
    <row r="7" spans="1:31" ht="60" customHeight="1" x14ac:dyDescent="0.25">
      <c r="A7" s="4" t="s">
        <v>0</v>
      </c>
      <c r="B7" s="5" t="s">
        <v>200</v>
      </c>
      <c r="C7" s="6" t="s">
        <v>204</v>
      </c>
      <c r="D7" s="5" t="s">
        <v>207</v>
      </c>
      <c r="E7" s="6" t="s">
        <v>209</v>
      </c>
      <c r="F7" s="5" t="s">
        <v>69</v>
      </c>
      <c r="G7" s="6" t="s">
        <v>210</v>
      </c>
      <c r="H7" s="5" t="s">
        <v>211</v>
      </c>
      <c r="I7" s="6" t="s">
        <v>212</v>
      </c>
      <c r="J7" s="4" t="s">
        <v>36</v>
      </c>
      <c r="K7" s="4" t="s">
        <v>133</v>
      </c>
      <c r="L7" s="5" t="s">
        <v>154</v>
      </c>
      <c r="M7" s="5" t="s">
        <v>82</v>
      </c>
      <c r="N7" s="40" t="s">
        <v>213</v>
      </c>
      <c r="O7" s="40" t="s">
        <v>214</v>
      </c>
      <c r="P7" s="101" t="s">
        <v>59</v>
      </c>
      <c r="Q7" s="10" t="s">
        <v>57</v>
      </c>
      <c r="R7" s="10" t="s">
        <v>41</v>
      </c>
      <c r="S7" s="10" t="s">
        <v>42</v>
      </c>
      <c r="T7" s="10" t="s">
        <v>43</v>
      </c>
      <c r="U7" s="10" t="s">
        <v>44</v>
      </c>
      <c r="V7" s="10" t="s">
        <v>45</v>
      </c>
      <c r="W7" s="10" t="s">
        <v>46</v>
      </c>
      <c r="X7" s="10" t="s">
        <v>47</v>
      </c>
      <c r="Y7" s="10" t="s">
        <v>48</v>
      </c>
      <c r="Z7" s="10" t="s">
        <v>49</v>
      </c>
      <c r="AA7" s="10" t="s">
        <v>50</v>
      </c>
      <c r="AB7" s="10" t="s">
        <v>51</v>
      </c>
      <c r="AC7" s="10" t="s">
        <v>52</v>
      </c>
      <c r="AD7" s="10" t="s">
        <v>53</v>
      </c>
      <c r="AE7" s="10" t="s">
        <v>54</v>
      </c>
    </row>
    <row r="8" spans="1:31" ht="60" customHeight="1" x14ac:dyDescent="0.25">
      <c r="A8" s="4" t="s">
        <v>335</v>
      </c>
      <c r="B8" s="191" t="s">
        <v>336</v>
      </c>
      <c r="C8" s="191"/>
      <c r="D8" s="191" t="s">
        <v>339</v>
      </c>
      <c r="E8" s="191"/>
      <c r="F8" s="191" t="s">
        <v>341</v>
      </c>
      <c r="G8" s="191"/>
      <c r="H8" s="191" t="s">
        <v>340</v>
      </c>
      <c r="I8" s="191"/>
      <c r="J8" s="203" t="s">
        <v>361</v>
      </c>
      <c r="K8" s="203"/>
      <c r="L8" s="203"/>
      <c r="M8" s="203"/>
      <c r="N8" s="7"/>
      <c r="O8" s="7"/>
      <c r="P8" s="7"/>
      <c r="Q8" s="7"/>
      <c r="R8" s="7"/>
      <c r="S8" s="7"/>
      <c r="T8" s="7"/>
      <c r="U8" s="7"/>
      <c r="V8" s="7"/>
      <c r="W8" s="7"/>
      <c r="X8" s="7"/>
      <c r="Y8" s="7"/>
      <c r="Z8" s="7"/>
      <c r="AA8" s="7"/>
      <c r="AB8" s="7"/>
      <c r="AC8" s="7"/>
      <c r="AD8" s="7"/>
      <c r="AE8" s="7"/>
    </row>
    <row r="9" spans="1:31" ht="60" customHeight="1" x14ac:dyDescent="0.25">
      <c r="A9" s="4" t="s">
        <v>333</v>
      </c>
      <c r="B9" s="191" t="s">
        <v>323</v>
      </c>
      <c r="C9" s="191"/>
      <c r="D9" s="191" t="s">
        <v>334</v>
      </c>
      <c r="E9" s="191"/>
      <c r="F9" s="191" t="s">
        <v>337</v>
      </c>
      <c r="G9" s="191"/>
      <c r="H9" s="191" t="s">
        <v>338</v>
      </c>
      <c r="I9" s="191"/>
      <c r="J9" s="4" t="s">
        <v>342</v>
      </c>
      <c r="K9" s="4" t="s">
        <v>343</v>
      </c>
      <c r="L9" s="5" t="s">
        <v>344</v>
      </c>
      <c r="M9" s="5" t="s">
        <v>345</v>
      </c>
      <c r="N9" s="40" t="s">
        <v>346</v>
      </c>
      <c r="O9" s="40" t="s">
        <v>347</v>
      </c>
      <c r="P9" s="101" t="s">
        <v>348</v>
      </c>
      <c r="Q9" s="10" t="s">
        <v>349</v>
      </c>
      <c r="R9" s="10" t="s">
        <v>41</v>
      </c>
      <c r="S9" s="10" t="s">
        <v>42</v>
      </c>
      <c r="T9" s="10" t="s">
        <v>43</v>
      </c>
      <c r="U9" s="10" t="s">
        <v>44</v>
      </c>
      <c r="V9" s="10" t="s">
        <v>45</v>
      </c>
      <c r="W9" s="10" t="s">
        <v>46</v>
      </c>
      <c r="X9" s="10" t="s">
        <v>47</v>
      </c>
      <c r="Y9" s="10" t="s">
        <v>350</v>
      </c>
      <c r="Z9" s="10" t="s">
        <v>49</v>
      </c>
      <c r="AA9" s="10" t="s">
        <v>50</v>
      </c>
      <c r="AB9" s="10" t="s">
        <v>51</v>
      </c>
      <c r="AC9" s="10" t="s">
        <v>52</v>
      </c>
      <c r="AD9" s="10" t="s">
        <v>53</v>
      </c>
      <c r="AE9" s="10" t="s">
        <v>54</v>
      </c>
    </row>
    <row r="10" spans="1:31" x14ac:dyDescent="0.25">
      <c r="A10" s="158" t="s">
        <v>58</v>
      </c>
      <c r="B10" s="159"/>
      <c r="C10" s="159"/>
      <c r="D10" s="159"/>
      <c r="E10" s="159"/>
      <c r="F10" s="159"/>
      <c r="G10" s="159"/>
      <c r="H10" s="159"/>
      <c r="I10" s="159"/>
      <c r="J10" s="159"/>
      <c r="K10" s="159"/>
      <c r="L10" s="159"/>
      <c r="M10" s="160"/>
      <c r="N10" s="38">
        <f t="shared" ref="N10:AE10" si="0">SUBTOTAL(9,N11:N19954)</f>
        <v>4500000000</v>
      </c>
      <c r="O10" s="38">
        <f t="shared" si="0"/>
        <v>440000000</v>
      </c>
      <c r="P10" s="38">
        <f t="shared" si="0"/>
        <v>4940000000</v>
      </c>
      <c r="Q10" s="11">
        <f t="shared" si="0"/>
        <v>0</v>
      </c>
      <c r="R10" s="11">
        <f t="shared" si="0"/>
        <v>0</v>
      </c>
      <c r="S10" s="11">
        <f t="shared" si="0"/>
        <v>0</v>
      </c>
      <c r="T10" s="11">
        <f t="shared" si="0"/>
        <v>0</v>
      </c>
      <c r="U10" s="11">
        <f t="shared" si="0"/>
        <v>0</v>
      </c>
      <c r="V10" s="11">
        <f t="shared" si="0"/>
        <v>0</v>
      </c>
      <c r="W10" s="11">
        <f t="shared" si="0"/>
        <v>0</v>
      </c>
      <c r="X10" s="11">
        <f t="shared" si="0"/>
        <v>0</v>
      </c>
      <c r="Y10" s="11">
        <f t="shared" si="0"/>
        <v>0</v>
      </c>
      <c r="Z10" s="11">
        <f t="shared" si="0"/>
        <v>0</v>
      </c>
      <c r="AA10" s="11">
        <f t="shared" si="0"/>
        <v>0</v>
      </c>
      <c r="AB10" s="11">
        <f t="shared" si="0"/>
        <v>0</v>
      </c>
      <c r="AC10" s="11">
        <f t="shared" si="0"/>
        <v>0</v>
      </c>
      <c r="AD10" s="11">
        <f t="shared" si="0"/>
        <v>0</v>
      </c>
      <c r="AE10" s="11">
        <f t="shared" si="0"/>
        <v>0</v>
      </c>
    </row>
    <row r="11" spans="1:31" x14ac:dyDescent="0.25">
      <c r="A11" s="7">
        <v>1</v>
      </c>
      <c r="B11" s="8" t="s">
        <v>136</v>
      </c>
      <c r="C11" s="9">
        <f>IF(B11&lt;&gt;"",INDEX(Table6[N/T/N PABT gốc],MATCH(B11,Table6[Số QĐ bồi thường gốc],0)),"")</f>
        <v>0</v>
      </c>
      <c r="D11" s="124"/>
      <c r="E11" s="9" t="str" cm="1">
        <f t="array" ref="E11">IF(D11&lt;&gt;"",INDEX('2. QĐ PABT Đ.Chỉnh'!$E$7:$E$19989,MATCH(B11&amp;D11,'2. QĐ PABT Đ.Chỉnh'!$B$7:$B$19989&amp;'2. QĐ PABT Đ.Chỉnh'!$D$7:$D$19989,0)),"")</f>
        <v/>
      </c>
      <c r="F11" s="8"/>
      <c r="G11" s="9" t="str" cm="1">
        <f t="array" ref="G11">IF(F11="","",IF(OR(B11="Tạm ứng",B11=""),"",INDEX('1. QĐ PABT K.hợp GPMB nhanh'!$E$7:$E$20000,MATCH(B11&amp;F11,'1. QĐ PABT K.hợp GPMB nhanh'!$B$7:$B$20000&amp;'1. QĐ PABT K.hợp GPMB nhanh'!$D$7:$D$20000,0))))</f>
        <v/>
      </c>
      <c r="H11" s="8"/>
      <c r="I11" s="9" t="str" cm="1">
        <f t="array" ref="I11">IF(H11="","",IF(OR(F11="Tạm ứng",F11=""),"",INDEX('2.1 QĐ GPMB nhanh Đ.Chỉnh'!$E$7:$E$19999,MATCH(F11&amp;H11,'2.1 QĐ GPMB nhanh Đ.Chỉnh'!$B$7:$B$19999&amp;'2.1 QĐ GPMB nhanh Đ.Chỉnh'!$D$7:$D$19999,0))))</f>
        <v/>
      </c>
      <c r="J11" s="7" t="s">
        <v>110</v>
      </c>
      <c r="K11" s="7" t="s">
        <v>152</v>
      </c>
      <c r="L11" s="7" t="s">
        <v>112</v>
      </c>
      <c r="M11" s="7" t="s">
        <v>114</v>
      </c>
      <c r="N11" s="124">
        <v>100000000</v>
      </c>
      <c r="O11" s="124">
        <v>0</v>
      </c>
      <c r="P11" s="41">
        <f>N11+O11</f>
        <v>100000000</v>
      </c>
      <c r="Q11" s="12">
        <f>SUM(R11:XFD11)</f>
        <v>0</v>
      </c>
      <c r="R11" s="37"/>
      <c r="S11" s="37"/>
      <c r="T11" s="37"/>
      <c r="U11" s="37"/>
      <c r="V11" s="37"/>
      <c r="W11" s="37"/>
      <c r="X11" s="37"/>
      <c r="Y11" s="37"/>
      <c r="Z11" s="37">
        <v>0</v>
      </c>
      <c r="AA11" s="37">
        <v>0</v>
      </c>
      <c r="AB11" s="37">
        <v>0</v>
      </c>
      <c r="AC11" s="37">
        <v>0</v>
      </c>
      <c r="AD11" s="37">
        <v>0</v>
      </c>
      <c r="AE11" s="37">
        <v>0</v>
      </c>
    </row>
    <row r="12" spans="1:31" x14ac:dyDescent="0.25">
      <c r="A12" s="7">
        <v>2</v>
      </c>
      <c r="B12" s="8">
        <v>120</v>
      </c>
      <c r="C12" s="9">
        <f>IF(B12&lt;&gt;"",INDEX(Table6[N/T/N PABT gốc],MATCH(B12,Table6[Số QĐ bồi thường gốc],0)),"")</f>
        <v>45356</v>
      </c>
      <c r="D12" s="8"/>
      <c r="E12" s="9" t="str" cm="1">
        <f t="array" ref="E12">IF(D12&lt;&gt;"",INDEX('2. QĐ PABT Đ.Chỉnh'!$E$7:$E$19989,MATCH(B12&amp;D12,'2. QĐ PABT Đ.Chỉnh'!$B$7:$B$19989&amp;'2. QĐ PABT Đ.Chỉnh'!$D$7:$D$19989,0)),"")</f>
        <v/>
      </c>
      <c r="F12" s="8"/>
      <c r="G12" s="9" t="str" cm="1">
        <f t="array" ref="G12">IF(F12="","",IF(OR(B12="Tạm ứng",B12=""),"",INDEX('1. QĐ PABT K.hợp GPMB nhanh'!$E$7:$E$20000,MATCH(B12&amp;F12,'1. QĐ PABT K.hợp GPMB nhanh'!$B$7:$B$20000&amp;'1. QĐ PABT K.hợp GPMB nhanh'!$D$7:$D$20000,0))))</f>
        <v/>
      </c>
      <c r="H12" s="8"/>
      <c r="I12" s="9" t="str" cm="1">
        <f t="array" ref="I12">IF(H12="","",IF(OR(F12="Tạm ứng",F12=""),"",INDEX('2.1 QĐ GPMB nhanh Đ.Chỉnh'!$E$7:$E$19999,MATCH(F12&amp;H12,'2.1 QĐ GPMB nhanh Đ.Chỉnh'!$B$7:$B$19999&amp;'2.1 QĐ GPMB nhanh Đ.Chỉnh'!$D$7:$D$19999,0))))</f>
        <v/>
      </c>
      <c r="J12" s="7" t="s">
        <v>110</v>
      </c>
      <c r="K12" s="7" t="s">
        <v>152</v>
      </c>
      <c r="L12" s="7" t="s">
        <v>112</v>
      </c>
      <c r="M12" s="7" t="s">
        <v>114</v>
      </c>
      <c r="N12" s="124">
        <v>200000000</v>
      </c>
      <c r="O12" s="124">
        <v>0</v>
      </c>
      <c r="P12" s="41">
        <f t="shared" ref="P12:P33" si="1">N12+O12</f>
        <v>200000000</v>
      </c>
      <c r="Q12" s="12">
        <f t="shared" ref="Q11:Q33" si="2">SUM(R12:XFD12)</f>
        <v>0</v>
      </c>
      <c r="R12" s="37"/>
      <c r="S12" s="37"/>
      <c r="T12" s="37"/>
      <c r="U12" s="37"/>
      <c r="V12" s="37"/>
      <c r="W12" s="37"/>
      <c r="X12" s="37"/>
      <c r="Y12" s="37"/>
      <c r="Z12" s="37">
        <v>0</v>
      </c>
      <c r="AA12" s="37">
        <v>0</v>
      </c>
      <c r="AB12" s="37">
        <v>0</v>
      </c>
      <c r="AC12" s="37">
        <v>0</v>
      </c>
      <c r="AD12" s="37">
        <v>0</v>
      </c>
      <c r="AE12" s="37">
        <v>0</v>
      </c>
    </row>
    <row r="13" spans="1:31" x14ac:dyDescent="0.25">
      <c r="A13" s="7">
        <v>3</v>
      </c>
      <c r="B13" s="8">
        <v>110</v>
      </c>
      <c r="C13" s="9">
        <f>IF(B13&lt;&gt;"",INDEX(Table6[N/T/N PABT gốc],MATCH(B13,Table6[Số QĐ bồi thường gốc],0)),"")</f>
        <v>45327</v>
      </c>
      <c r="D13" s="8" t="s">
        <v>136</v>
      </c>
      <c r="E13" s="9" cm="1">
        <f t="array" ref="E13">IF(D13&lt;&gt;"",INDEX('2. QĐ PABT Đ.Chỉnh'!$E$7:$E$19989,MATCH(B13&amp;D13,'2. QĐ PABT Đ.Chỉnh'!$B$7:$B$19989&amp;'2. QĐ PABT Đ.Chỉnh'!$D$7:$D$19989,0)),"")</f>
        <v>0</v>
      </c>
      <c r="F13" s="8"/>
      <c r="G13" s="9" t="str" cm="1">
        <f t="array" ref="G13">IF(F13="","",IF(OR(B13="Tạm ứng",B13=""),"",INDEX('1. QĐ PABT K.hợp GPMB nhanh'!$E$7:$E$20000,MATCH(B13&amp;F13,'1. QĐ PABT K.hợp GPMB nhanh'!$B$7:$B$20000&amp;'1. QĐ PABT K.hợp GPMB nhanh'!$D$7:$D$20000,0))))</f>
        <v/>
      </c>
      <c r="H13" s="8"/>
      <c r="I13" s="9" t="str" cm="1">
        <f t="array" ref="I13">IF(H13="","",IF(OR(F13="Tạm ứng",F13=""),"",INDEX('2.1 QĐ GPMB nhanh Đ.Chỉnh'!$E$7:$E$19999,MATCH(F13&amp;H13,'2.1 QĐ GPMB nhanh Đ.Chỉnh'!$B$7:$B$19999&amp;'2.1 QĐ GPMB nhanh Đ.Chỉnh'!$D$7:$D$19999,0))))</f>
        <v/>
      </c>
      <c r="J13" s="7" t="s">
        <v>110</v>
      </c>
      <c r="K13" s="7" t="s">
        <v>152</v>
      </c>
      <c r="L13" s="7" t="s">
        <v>112</v>
      </c>
      <c r="M13" s="7" t="s">
        <v>114</v>
      </c>
      <c r="N13" s="124">
        <v>300000000</v>
      </c>
      <c r="O13" s="124">
        <v>0</v>
      </c>
      <c r="P13" s="41">
        <f t="shared" si="1"/>
        <v>300000000</v>
      </c>
      <c r="Q13" s="12">
        <f t="shared" si="2"/>
        <v>0</v>
      </c>
      <c r="R13" s="36"/>
      <c r="S13" s="36"/>
      <c r="T13" s="36"/>
      <c r="U13" s="36"/>
      <c r="V13" s="36"/>
      <c r="W13" s="36"/>
      <c r="X13" s="36"/>
      <c r="Y13" s="36"/>
      <c r="Z13" s="37">
        <v>0</v>
      </c>
      <c r="AA13" s="37">
        <v>0</v>
      </c>
      <c r="AB13" s="37">
        <v>0</v>
      </c>
      <c r="AC13" s="37">
        <v>0</v>
      </c>
      <c r="AD13" s="37">
        <v>0</v>
      </c>
      <c r="AE13" s="37">
        <v>0</v>
      </c>
    </row>
    <row r="14" spans="1:31" x14ac:dyDescent="0.25">
      <c r="A14" s="7">
        <v>4</v>
      </c>
      <c r="B14" s="8">
        <v>120</v>
      </c>
      <c r="C14" s="9">
        <f>IF(B14&lt;&gt;"",INDEX(Table6[N/T/N PABT gốc],MATCH(B14,Table6[Số QĐ bồi thường gốc],0)),"")</f>
        <v>45356</v>
      </c>
      <c r="D14" s="8"/>
      <c r="E14" s="9" t="str" cm="1">
        <f t="array" ref="E14">IF(D14&lt;&gt;"",INDEX('2. QĐ PABT Đ.Chỉnh'!$E$7:$E$19989,MATCH(B14&amp;D14,'2. QĐ PABT Đ.Chỉnh'!$B$7:$B$19989&amp;'2. QĐ PABT Đ.Chỉnh'!$D$7:$D$19989,0)),"")</f>
        <v/>
      </c>
      <c r="F14" s="8"/>
      <c r="G14" s="9" t="str" cm="1">
        <f t="array" ref="G14">IF(F14="","",IF(OR(B14="Tạm ứng",B14=""),"",INDEX('1. QĐ PABT K.hợp GPMB nhanh'!$E$7:$E$20000,MATCH(B14&amp;F14,'1. QĐ PABT K.hợp GPMB nhanh'!$B$7:$B$20000&amp;'1. QĐ PABT K.hợp GPMB nhanh'!$D$7:$D$20000,0))))</f>
        <v/>
      </c>
      <c r="H14" s="8"/>
      <c r="I14" s="9" t="str" cm="1">
        <f t="array" ref="I14">IF(H14="","",IF(OR(F14="Tạm ứng",F14=""),"",INDEX('2.1 QĐ GPMB nhanh Đ.Chỉnh'!$E$7:$E$19999,MATCH(F14&amp;H14,'2.1 QĐ GPMB nhanh Đ.Chỉnh'!$B$7:$B$19999&amp;'2.1 QĐ GPMB nhanh Đ.Chỉnh'!$D$7:$D$19999,0))))</f>
        <v/>
      </c>
      <c r="J14" s="7" t="s">
        <v>110</v>
      </c>
      <c r="K14" s="7" t="s">
        <v>152</v>
      </c>
      <c r="L14" s="7" t="s">
        <v>112</v>
      </c>
      <c r="M14" s="7" t="s">
        <v>114</v>
      </c>
      <c r="N14" s="124">
        <v>400000000</v>
      </c>
      <c r="O14" s="124">
        <v>0</v>
      </c>
      <c r="P14" s="41">
        <f t="shared" si="1"/>
        <v>400000000</v>
      </c>
      <c r="Q14" s="12">
        <f t="shared" si="2"/>
        <v>0</v>
      </c>
      <c r="R14" s="36"/>
      <c r="S14" s="36"/>
      <c r="T14" s="36"/>
      <c r="U14" s="36"/>
      <c r="V14" s="36"/>
      <c r="W14" s="36"/>
      <c r="X14" s="36"/>
      <c r="Y14" s="36"/>
      <c r="Z14" s="36">
        <v>0</v>
      </c>
      <c r="AA14" s="36">
        <v>0</v>
      </c>
      <c r="AB14" s="36">
        <v>0</v>
      </c>
      <c r="AC14" s="36">
        <v>0</v>
      </c>
      <c r="AD14" s="36">
        <v>0</v>
      </c>
      <c r="AE14" s="36">
        <v>0</v>
      </c>
    </row>
    <row r="15" spans="1:31" x14ac:dyDescent="0.25">
      <c r="A15" s="7">
        <v>5</v>
      </c>
      <c r="B15" s="8">
        <v>120</v>
      </c>
      <c r="C15" s="9">
        <f>IF(B15&lt;&gt;"",INDEX(Table6[N/T/N PABT gốc],MATCH(B15,Table6[Số QĐ bồi thường gốc],0)),"")</f>
        <v>45356</v>
      </c>
      <c r="D15" s="8">
        <v>121</v>
      </c>
      <c r="E15" s="9" cm="1">
        <f t="array" ref="E15">IF(D15&lt;&gt;"",INDEX('2. QĐ PABT Đ.Chỉnh'!$E$7:$E$19989,MATCH(B15&amp;D15,'2. QĐ PABT Đ.Chỉnh'!$B$7:$B$19989&amp;'2. QĐ PABT Đ.Chỉnh'!$D$7:$D$19989,0)),"")</f>
        <v>45361</v>
      </c>
      <c r="F15" s="8"/>
      <c r="G15" s="9" t="str" cm="1">
        <f t="array" ref="G15">IF(F15="","",IF(OR(B15="Tạm ứng",B15=""),"",INDEX('1. QĐ PABT K.hợp GPMB nhanh'!$E$7:$E$20000,MATCH(B15&amp;F15,'1. QĐ PABT K.hợp GPMB nhanh'!$B$7:$B$20000&amp;'1. QĐ PABT K.hợp GPMB nhanh'!$D$7:$D$20000,0))))</f>
        <v/>
      </c>
      <c r="H15" s="8"/>
      <c r="I15" s="9" t="str" cm="1">
        <f t="array" ref="I15">IF(H15="","",IF(OR(F15="Tạm ứng",F15=""),"",INDEX('2.1 QĐ GPMB nhanh Đ.Chỉnh'!$E$7:$E$19999,MATCH(F15&amp;H15,'2.1 QĐ GPMB nhanh Đ.Chỉnh'!$B$7:$B$19999&amp;'2.1 QĐ GPMB nhanh Đ.Chỉnh'!$D$7:$D$19999,0))))</f>
        <v/>
      </c>
      <c r="J15" s="7" t="s">
        <v>110</v>
      </c>
      <c r="K15" s="7" t="s">
        <v>152</v>
      </c>
      <c r="L15" s="7" t="s">
        <v>112</v>
      </c>
      <c r="M15" s="7" t="s">
        <v>114</v>
      </c>
      <c r="N15" s="124">
        <v>500000000</v>
      </c>
      <c r="O15" s="124">
        <v>0</v>
      </c>
      <c r="P15" s="41">
        <f t="shared" si="1"/>
        <v>500000000</v>
      </c>
      <c r="Q15" s="12">
        <f t="shared" si="2"/>
        <v>0</v>
      </c>
      <c r="R15" s="36"/>
      <c r="S15" s="36"/>
      <c r="T15" s="36"/>
      <c r="U15" s="36"/>
      <c r="V15" s="36"/>
      <c r="W15" s="36"/>
      <c r="X15" s="36"/>
      <c r="Y15" s="36"/>
      <c r="Z15" s="36">
        <v>0</v>
      </c>
      <c r="AA15" s="36">
        <v>0</v>
      </c>
      <c r="AB15" s="36">
        <v>0</v>
      </c>
      <c r="AC15" s="36">
        <v>0</v>
      </c>
      <c r="AD15" s="36">
        <v>0</v>
      </c>
      <c r="AE15" s="36">
        <v>0</v>
      </c>
    </row>
    <row r="16" spans="1:31" x14ac:dyDescent="0.25">
      <c r="A16" s="7">
        <v>6</v>
      </c>
      <c r="B16" s="8">
        <v>130</v>
      </c>
      <c r="C16" s="9">
        <f>IF(B16&lt;&gt;"",INDEX(Table6[N/T/N PABT gốc],MATCH(B16,Table6[Số QĐ bồi thường gốc],0)),"")</f>
        <v>45387</v>
      </c>
      <c r="D16" s="8"/>
      <c r="E16" s="9" t="str" cm="1">
        <f t="array" ref="E16">IF(D16&lt;&gt;"",INDEX('2. QĐ PABT Đ.Chỉnh'!$E$7:$E$19989,MATCH(B16&amp;D16,'2. QĐ PABT Đ.Chỉnh'!$B$7:$B$19989&amp;'2. QĐ PABT Đ.Chỉnh'!$D$7:$D$19989,0)),"")</f>
        <v/>
      </c>
      <c r="F16" s="8"/>
      <c r="G16" s="9" t="str" cm="1">
        <f t="array" ref="G16">IF(F16="","",IF(OR(B16="Tạm ứng",B16=""),"",INDEX('1. QĐ PABT K.hợp GPMB nhanh'!$E$7:$E$20000,MATCH(B16&amp;F16,'1. QĐ PABT K.hợp GPMB nhanh'!$B$7:$B$20000&amp;'1. QĐ PABT K.hợp GPMB nhanh'!$D$7:$D$20000,0))))</f>
        <v/>
      </c>
      <c r="H16" s="8"/>
      <c r="I16" s="9" t="str" cm="1">
        <f t="array" ref="I16">IF(H16="","",IF(OR(F16="Tạm ứng",F16=""),"",INDEX('2.1 QĐ GPMB nhanh Đ.Chỉnh'!$E$7:$E$19999,MATCH(F16&amp;H16,'2.1 QĐ GPMB nhanh Đ.Chỉnh'!$B$7:$B$19999&amp;'2.1 QĐ GPMB nhanh Đ.Chỉnh'!$D$7:$D$19999,0))))</f>
        <v/>
      </c>
      <c r="J16" s="7" t="s">
        <v>110</v>
      </c>
      <c r="K16" s="7" t="s">
        <v>152</v>
      </c>
      <c r="L16" s="7" t="s">
        <v>112</v>
      </c>
      <c r="M16" s="7" t="s">
        <v>114</v>
      </c>
      <c r="N16" s="124">
        <v>600000000</v>
      </c>
      <c r="O16" s="124">
        <v>0</v>
      </c>
      <c r="P16" s="41">
        <f t="shared" si="1"/>
        <v>600000000</v>
      </c>
      <c r="Q16" s="12">
        <f t="shared" si="2"/>
        <v>0</v>
      </c>
      <c r="R16" s="36"/>
      <c r="S16" s="36"/>
      <c r="T16" s="36"/>
      <c r="U16" s="36"/>
      <c r="V16" s="36"/>
      <c r="W16" s="36"/>
      <c r="X16" s="36"/>
      <c r="Y16" s="36"/>
      <c r="Z16" s="36"/>
      <c r="AA16" s="36"/>
      <c r="AB16" s="36"/>
      <c r="AC16" s="36"/>
      <c r="AD16" s="36"/>
      <c r="AE16" s="36"/>
    </row>
    <row r="17" spans="1:31" x14ac:dyDescent="0.25">
      <c r="A17" s="7">
        <v>7</v>
      </c>
      <c r="B17" s="8">
        <v>130</v>
      </c>
      <c r="C17" s="9">
        <f>IF(B17&lt;&gt;"",INDEX(Table6[N/T/N PABT gốc],MATCH(B17,Table6[Số QĐ bồi thường gốc],0)),"")</f>
        <v>45387</v>
      </c>
      <c r="D17" s="8">
        <v>131</v>
      </c>
      <c r="E17" s="9" cm="1">
        <f t="array" ref="E17">IF(D17&lt;&gt;"",INDEX('2. QĐ PABT Đ.Chỉnh'!$E$7:$E$19989,MATCH(B17&amp;D17,'2. QĐ PABT Đ.Chỉnh'!$B$7:$B$19989&amp;'2. QĐ PABT Đ.Chỉnh'!$D$7:$D$19989,0)),"")</f>
        <v>45392</v>
      </c>
      <c r="F17" s="8"/>
      <c r="G17" s="9" t="str" cm="1">
        <f t="array" ref="G17">IF(F17="","",IF(OR(B17="Tạm ứng",B17=""),"",INDEX('1. QĐ PABT K.hợp GPMB nhanh'!$E$7:$E$20000,MATCH(B17&amp;F17,'1. QĐ PABT K.hợp GPMB nhanh'!$B$7:$B$20000&amp;'1. QĐ PABT K.hợp GPMB nhanh'!$D$7:$D$20000,0))))</f>
        <v/>
      </c>
      <c r="H17" s="8"/>
      <c r="I17" s="9" t="str" cm="1">
        <f t="array" ref="I17">IF(H17="","",IF(OR(F17="Tạm ứng",F17=""),"",INDEX('2.1 QĐ GPMB nhanh Đ.Chỉnh'!$E$7:$E$19999,MATCH(F17&amp;H17,'2.1 QĐ GPMB nhanh Đ.Chỉnh'!$B$7:$B$19999&amp;'2.1 QĐ GPMB nhanh Đ.Chỉnh'!$D$7:$D$19999,0))))</f>
        <v/>
      </c>
      <c r="J17" s="7" t="s">
        <v>110</v>
      </c>
      <c r="K17" s="7" t="s">
        <v>152</v>
      </c>
      <c r="L17" s="7" t="s">
        <v>112</v>
      </c>
      <c r="M17" s="7" t="s">
        <v>114</v>
      </c>
      <c r="N17" s="124">
        <v>700000000</v>
      </c>
      <c r="O17" s="124">
        <v>0</v>
      </c>
      <c r="P17" s="41">
        <f t="shared" si="1"/>
        <v>700000000</v>
      </c>
      <c r="Q17" s="12">
        <f t="shared" si="2"/>
        <v>0</v>
      </c>
      <c r="R17" s="36"/>
      <c r="S17" s="36"/>
      <c r="T17" s="36"/>
      <c r="U17" s="36"/>
      <c r="V17" s="36"/>
      <c r="W17" s="36"/>
      <c r="X17" s="36"/>
      <c r="Y17" s="36"/>
      <c r="Z17" s="36"/>
      <c r="AA17" s="36"/>
      <c r="AB17" s="36"/>
      <c r="AC17" s="36"/>
      <c r="AD17" s="36"/>
      <c r="AE17" s="36"/>
    </row>
    <row r="18" spans="1:31" x14ac:dyDescent="0.25">
      <c r="A18" s="7">
        <v>8</v>
      </c>
      <c r="B18" s="8">
        <v>130</v>
      </c>
      <c r="C18" s="9">
        <f>IF(B18&lt;&gt;"",INDEX(Table6[N/T/N PABT gốc],MATCH(B18,Table6[Số QĐ bồi thường gốc],0)),"")</f>
        <v>45387</v>
      </c>
      <c r="D18" s="8">
        <v>132</v>
      </c>
      <c r="E18" s="9" cm="1">
        <f t="array" ref="E18">IF(D18&lt;&gt;"",INDEX('2. QĐ PABT Đ.Chỉnh'!$E$7:$E$19989,MATCH(B18&amp;D18,'2. QĐ PABT Đ.Chỉnh'!$B$7:$B$19989&amp;'2. QĐ PABT Đ.Chỉnh'!$D$7:$D$19989,0)),"")</f>
        <v>45397</v>
      </c>
      <c r="F18" s="8"/>
      <c r="G18" s="9" t="str" cm="1">
        <f t="array" ref="G18">IF(F18="","",IF(OR(B18="Tạm ứng",B18=""),"",INDEX('1. QĐ PABT K.hợp GPMB nhanh'!$E$7:$E$20000,MATCH(B18&amp;F18,'1. QĐ PABT K.hợp GPMB nhanh'!$B$7:$B$20000&amp;'1. QĐ PABT K.hợp GPMB nhanh'!$D$7:$D$20000,0))))</f>
        <v/>
      </c>
      <c r="H18" s="8"/>
      <c r="I18" s="9" t="str" cm="1">
        <f t="array" ref="I18">IF(H18="","",IF(OR(F18="Tạm ứng",F18=""),"",INDEX('2.1 QĐ GPMB nhanh Đ.Chỉnh'!$E$7:$E$19999,MATCH(F18&amp;H18,'2.1 QĐ GPMB nhanh Đ.Chỉnh'!$B$7:$B$19999&amp;'2.1 QĐ GPMB nhanh Đ.Chỉnh'!$D$7:$D$19999,0))))</f>
        <v/>
      </c>
      <c r="J18" s="7" t="s">
        <v>110</v>
      </c>
      <c r="K18" s="7" t="s">
        <v>152</v>
      </c>
      <c r="L18" s="7" t="s">
        <v>112</v>
      </c>
      <c r="M18" s="7" t="s">
        <v>114</v>
      </c>
      <c r="N18" s="124">
        <v>800000000</v>
      </c>
      <c r="O18" s="124">
        <v>0</v>
      </c>
      <c r="P18" s="41">
        <f t="shared" si="1"/>
        <v>800000000</v>
      </c>
      <c r="Q18" s="12">
        <f t="shared" si="2"/>
        <v>0</v>
      </c>
      <c r="R18" s="36"/>
      <c r="S18" s="36"/>
      <c r="T18" s="36"/>
      <c r="U18" s="36"/>
      <c r="V18" s="36"/>
      <c r="W18" s="36"/>
      <c r="X18" s="36"/>
      <c r="Y18" s="36"/>
      <c r="Z18" s="36"/>
      <c r="AA18" s="36"/>
      <c r="AB18" s="36"/>
      <c r="AC18" s="36"/>
      <c r="AD18" s="36"/>
      <c r="AE18" s="36"/>
    </row>
    <row r="19" spans="1:31" x14ac:dyDescent="0.25">
      <c r="A19" s="7">
        <v>9</v>
      </c>
      <c r="B19" s="8">
        <v>110</v>
      </c>
      <c r="C19" s="9">
        <f>IF(B19&lt;&gt;"",INDEX(Table6[N/T/N PABT gốc],MATCH(B19,Table6[Số QĐ bồi thường gốc],0)),"")</f>
        <v>45327</v>
      </c>
      <c r="D19" s="8"/>
      <c r="E19" s="9" t="str" cm="1">
        <f t="array" ref="E19">IF(D19&lt;&gt;"",INDEX('2. QĐ PABT Đ.Chỉnh'!$E$7:$E$19989,MATCH(B19&amp;D19,'2. QĐ PABT Đ.Chỉnh'!$B$7:$B$19989&amp;'2. QĐ PABT Đ.Chỉnh'!$D$7:$D$19989,0)),"")</f>
        <v/>
      </c>
      <c r="F19" s="8" t="s">
        <v>136</v>
      </c>
      <c r="G19" s="9" cm="1">
        <f t="array" ref="G19">IF(F19="","",IF(OR(B19="Tạm ứng",B19=""),"",INDEX('1. QĐ PABT K.hợp GPMB nhanh'!$E$7:$E$20000,MATCH(B19&amp;F19,'1. QĐ PABT K.hợp GPMB nhanh'!$B$7:$B$20000&amp;'1. QĐ PABT K.hợp GPMB nhanh'!$D$7:$D$20000,0))))</f>
        <v>0</v>
      </c>
      <c r="H19" s="8"/>
      <c r="I19" s="9" t="str" cm="1">
        <f t="array" ref="I19">IF(H19="","",IF(OR(F19="Tạm ứng",F19=""),"",INDEX('2.1 QĐ GPMB nhanh Đ.Chỉnh'!$E$7:$E$19999,MATCH(F19&amp;H19,'2.1 QĐ GPMB nhanh Đ.Chỉnh'!$B$7:$B$19999&amp;'2.1 QĐ GPMB nhanh Đ.Chỉnh'!$D$7:$D$19999,0))))</f>
        <v/>
      </c>
      <c r="J19" s="7" t="s">
        <v>110</v>
      </c>
      <c r="K19" s="7" t="s">
        <v>152</v>
      </c>
      <c r="L19" s="7" t="s">
        <v>112</v>
      </c>
      <c r="M19" s="7" t="s">
        <v>114</v>
      </c>
      <c r="N19" s="124">
        <v>0</v>
      </c>
      <c r="O19" s="124">
        <v>50000000</v>
      </c>
      <c r="P19" s="41">
        <f t="shared" si="1"/>
        <v>50000000</v>
      </c>
      <c r="Q19" s="12">
        <f t="shared" si="2"/>
        <v>0</v>
      </c>
      <c r="R19" s="36"/>
      <c r="S19" s="36"/>
      <c r="T19" s="36"/>
      <c r="U19" s="36"/>
      <c r="V19" s="36"/>
      <c r="W19" s="36"/>
      <c r="X19" s="36"/>
      <c r="Y19" s="36"/>
      <c r="Z19" s="36"/>
      <c r="AA19" s="36"/>
      <c r="AB19" s="36"/>
      <c r="AC19" s="36"/>
      <c r="AD19" s="36"/>
      <c r="AE19" s="36"/>
    </row>
    <row r="20" spans="1:31" x14ac:dyDescent="0.25">
      <c r="A20" s="7">
        <v>10</v>
      </c>
      <c r="B20" s="8">
        <v>120</v>
      </c>
      <c r="C20" s="9">
        <f>IF(B20&lt;&gt;"",INDEX(Table6[N/T/N PABT gốc],MATCH(B20,Table6[Số QĐ bồi thường gốc],0)),"")</f>
        <v>45356</v>
      </c>
      <c r="D20" s="8"/>
      <c r="E20" s="9" t="str" cm="1">
        <f t="array" ref="E20">IF(D20&lt;&gt;"",INDEX('2. QĐ PABT Đ.Chỉnh'!$E$7:$E$19989,MATCH(B20&amp;D20,'2. QĐ PABT Đ.Chỉnh'!$B$7:$B$19989&amp;'2. QĐ PABT Đ.Chỉnh'!$D$7:$D$19989,0)),"")</f>
        <v/>
      </c>
      <c r="F20" s="8">
        <v>220</v>
      </c>
      <c r="G20" s="9" cm="1">
        <f t="array" ref="G20">IF(F20="","",IF(OR(B20="Tạm ứng",B20=""),"",INDEX('1. QĐ PABT K.hợp GPMB nhanh'!$E$7:$E$20000,MATCH(B20&amp;F20,'1. QĐ PABT K.hợp GPMB nhanh'!$B$7:$B$20000&amp;'1. QĐ PABT K.hợp GPMB nhanh'!$D$7:$D$20000,0))))</f>
        <v>45361</v>
      </c>
      <c r="H20" s="8"/>
      <c r="I20" s="9" t="str" cm="1">
        <f t="array" ref="I20">IF(H20="","",IF(OR(F20="Tạm ứng",F20=""),"",INDEX('2.1 QĐ GPMB nhanh Đ.Chỉnh'!$E$7:$E$19999,MATCH(F20&amp;H20,'2.1 QĐ GPMB nhanh Đ.Chỉnh'!$B$7:$B$19999&amp;'2.1 QĐ GPMB nhanh Đ.Chỉnh'!$D$7:$D$19999,0))))</f>
        <v/>
      </c>
      <c r="J20" s="7" t="s">
        <v>110</v>
      </c>
      <c r="K20" s="7" t="s">
        <v>152</v>
      </c>
      <c r="L20" s="7" t="s">
        <v>112</v>
      </c>
      <c r="M20" s="7" t="s">
        <v>114</v>
      </c>
      <c r="N20" s="124">
        <v>0</v>
      </c>
      <c r="O20" s="124">
        <v>40000000</v>
      </c>
      <c r="P20" s="41">
        <f t="shared" si="1"/>
        <v>40000000</v>
      </c>
      <c r="Q20" s="12">
        <f t="shared" si="2"/>
        <v>0</v>
      </c>
      <c r="R20" s="36"/>
      <c r="S20" s="36"/>
      <c r="T20" s="36"/>
      <c r="U20" s="36"/>
      <c r="V20" s="36"/>
      <c r="W20" s="36"/>
      <c r="X20" s="36"/>
      <c r="Y20" s="36"/>
      <c r="Z20" s="36">
        <v>0</v>
      </c>
      <c r="AA20" s="36">
        <v>0</v>
      </c>
      <c r="AB20" s="36">
        <v>0</v>
      </c>
      <c r="AC20" s="36">
        <v>0</v>
      </c>
      <c r="AD20" s="36">
        <v>0</v>
      </c>
      <c r="AE20" s="36">
        <v>0</v>
      </c>
    </row>
    <row r="21" spans="1:31" x14ac:dyDescent="0.25">
      <c r="A21" s="7">
        <v>11</v>
      </c>
      <c r="B21" s="8">
        <v>120</v>
      </c>
      <c r="C21" s="9">
        <f>IF(B21&lt;&gt;"",INDEX(Table6[N/T/N PABT gốc],MATCH(B21,Table6[Số QĐ bồi thường gốc],0)),"")</f>
        <v>45356</v>
      </c>
      <c r="D21" s="8">
        <v>121</v>
      </c>
      <c r="E21" s="9" cm="1">
        <f t="array" ref="E21">IF(D21&lt;&gt;"",INDEX('2. QĐ PABT Đ.Chỉnh'!$E$7:$E$19989,MATCH(B21&amp;D21,'2. QĐ PABT Đ.Chỉnh'!$B$7:$B$19989&amp;'2. QĐ PABT Đ.Chỉnh'!$D$7:$D$19989,0)),"")</f>
        <v>45361</v>
      </c>
      <c r="F21" s="8">
        <v>220</v>
      </c>
      <c r="G21" s="9" cm="1">
        <f t="array" ref="G21">IF(F21="","",IF(OR(B21="Tạm ứng",B21=""),"",INDEX('1. QĐ PABT K.hợp GPMB nhanh'!$E$7:$E$20000,MATCH(B21&amp;F21,'1. QĐ PABT K.hợp GPMB nhanh'!$B$7:$B$20000&amp;'1. QĐ PABT K.hợp GPMB nhanh'!$D$7:$D$20000,0))))</f>
        <v>45361</v>
      </c>
      <c r="H21" s="8">
        <v>221</v>
      </c>
      <c r="I21" s="9" cm="1">
        <f t="array" ref="I21">IF(H21="","",IF(OR(F21="Tạm ứng",F21=""),"",INDEX('2.1 QĐ GPMB nhanh Đ.Chỉnh'!$E$7:$E$19999,MATCH(F21&amp;H21,'2.1 QĐ GPMB nhanh Đ.Chỉnh'!$B$7:$B$19999&amp;'2.1 QĐ GPMB nhanh Đ.Chỉnh'!$D$7:$D$19999,0))))</f>
        <v>45366</v>
      </c>
      <c r="J21" s="7" t="s">
        <v>110</v>
      </c>
      <c r="K21" s="7" t="s">
        <v>152</v>
      </c>
      <c r="L21" s="7" t="s">
        <v>112</v>
      </c>
      <c r="M21" s="7" t="s">
        <v>114</v>
      </c>
      <c r="N21" s="124">
        <v>0</v>
      </c>
      <c r="O21" s="124">
        <v>50000000</v>
      </c>
      <c r="P21" s="41">
        <f t="shared" si="1"/>
        <v>50000000</v>
      </c>
      <c r="Q21" s="12">
        <f t="shared" si="2"/>
        <v>0</v>
      </c>
      <c r="R21" s="36"/>
      <c r="S21" s="36"/>
      <c r="T21" s="36"/>
      <c r="U21" s="36"/>
      <c r="V21" s="36"/>
      <c r="W21" s="36"/>
      <c r="X21" s="36"/>
      <c r="Y21" s="36"/>
      <c r="Z21" s="36">
        <v>0</v>
      </c>
      <c r="AA21" s="36">
        <v>0</v>
      </c>
      <c r="AB21" s="36">
        <v>0</v>
      </c>
      <c r="AC21" s="36">
        <v>0</v>
      </c>
      <c r="AD21" s="36">
        <v>0</v>
      </c>
      <c r="AE21" s="36">
        <v>0</v>
      </c>
    </row>
    <row r="22" spans="1:31" x14ac:dyDescent="0.25">
      <c r="A22" s="7">
        <v>12</v>
      </c>
      <c r="B22" s="8">
        <v>130</v>
      </c>
      <c r="C22" s="9">
        <f>IF(B22&lt;&gt;"",INDEX(Table6[N/T/N PABT gốc],MATCH(B22,Table6[Số QĐ bồi thường gốc],0)),"")</f>
        <v>45387</v>
      </c>
      <c r="D22" s="8"/>
      <c r="E22" s="9" t="str" cm="1">
        <f t="array" ref="E22">IF(D22&lt;&gt;"",INDEX('2. QĐ PABT Đ.Chỉnh'!$E$7:$E$19989,MATCH(B22&amp;D22,'2. QĐ PABT Đ.Chỉnh'!$B$7:$B$19989&amp;'2. QĐ PABT Đ.Chỉnh'!$D$7:$D$19989,0)),"")</f>
        <v/>
      </c>
      <c r="F22" s="8">
        <v>230</v>
      </c>
      <c r="G22" s="9" cm="1">
        <f t="array" ref="G22">IF(F22="","",IF(OR(B22="Tạm ứng",B22=""),"",INDEX('1. QĐ PABT K.hợp GPMB nhanh'!$E$7:$E$20000,MATCH(B22&amp;F22,'1. QĐ PABT K.hợp GPMB nhanh'!$B$7:$B$20000&amp;'1. QĐ PABT K.hợp GPMB nhanh'!$D$7:$D$20000,0))))</f>
        <v>45392</v>
      </c>
      <c r="H22" s="8"/>
      <c r="I22" s="9" t="str" cm="1">
        <f t="array" ref="I22">IF(H22="","",IF(OR(F22="Tạm ứng",F22=""),"",INDEX('2.1 QĐ GPMB nhanh Đ.Chỉnh'!$E$7:$E$19999,MATCH(F22&amp;H22,'2.1 QĐ GPMB nhanh Đ.Chỉnh'!$B$7:$B$19999&amp;'2.1 QĐ GPMB nhanh Đ.Chỉnh'!$D$7:$D$19999,0))))</f>
        <v/>
      </c>
      <c r="J22" s="7" t="s">
        <v>110</v>
      </c>
      <c r="K22" s="7" t="s">
        <v>152</v>
      </c>
      <c r="L22" s="7" t="s">
        <v>112</v>
      </c>
      <c r="M22" s="7" t="s">
        <v>114</v>
      </c>
      <c r="N22" s="124">
        <v>0</v>
      </c>
      <c r="O22" s="124">
        <v>60000000</v>
      </c>
      <c r="P22" s="41">
        <f t="shared" si="1"/>
        <v>60000000</v>
      </c>
      <c r="Q22" s="12">
        <f t="shared" si="2"/>
        <v>0</v>
      </c>
      <c r="R22" s="36"/>
      <c r="S22" s="36"/>
      <c r="T22" s="36"/>
      <c r="U22" s="36"/>
      <c r="V22" s="36"/>
      <c r="W22" s="36"/>
      <c r="X22" s="36"/>
      <c r="Y22" s="36"/>
      <c r="Z22" s="36">
        <v>0</v>
      </c>
      <c r="AA22" s="36">
        <v>0</v>
      </c>
      <c r="AB22" s="36">
        <v>0</v>
      </c>
      <c r="AC22" s="36">
        <v>0</v>
      </c>
      <c r="AD22" s="36">
        <v>0</v>
      </c>
      <c r="AE22" s="36">
        <v>0</v>
      </c>
    </row>
    <row r="23" spans="1:31" x14ac:dyDescent="0.25">
      <c r="A23" s="7">
        <v>13</v>
      </c>
      <c r="B23" s="8">
        <v>130</v>
      </c>
      <c r="C23" s="9">
        <f>IF(B23&lt;&gt;"",INDEX(Table6[N/T/N PABT gốc],MATCH(B23,Table6[Số QĐ bồi thường gốc],0)),"")</f>
        <v>45387</v>
      </c>
      <c r="D23" s="8">
        <v>131</v>
      </c>
      <c r="E23" s="9" cm="1">
        <f t="array" ref="E23">IF(D23&lt;&gt;"",INDEX('2. QĐ PABT Đ.Chỉnh'!$E$7:$E$19989,MATCH(B23&amp;D23,'2. QĐ PABT Đ.Chỉnh'!$B$7:$B$19989&amp;'2. QĐ PABT Đ.Chỉnh'!$D$7:$D$19989,0)),"")</f>
        <v>45392</v>
      </c>
      <c r="F23" s="8">
        <v>230</v>
      </c>
      <c r="G23" s="9" cm="1">
        <f t="array" ref="G23">IF(F23="","",IF(OR(B23="Tạm ứng",B23=""),"",INDEX('1. QĐ PABT K.hợp GPMB nhanh'!$E$7:$E$20000,MATCH(B23&amp;F23,'1. QĐ PABT K.hợp GPMB nhanh'!$B$7:$B$20000&amp;'1. QĐ PABT K.hợp GPMB nhanh'!$D$7:$D$20000,0))))</f>
        <v>45392</v>
      </c>
      <c r="H23" s="8">
        <v>231</v>
      </c>
      <c r="I23" s="9" cm="1">
        <f t="array" ref="I23">IF(H23="","",IF(OR(F23="Tạm ứng",F23=""),"",INDEX('2.1 QĐ GPMB nhanh Đ.Chỉnh'!$E$7:$E$19999,MATCH(F23&amp;H23,'2.1 QĐ GPMB nhanh Đ.Chỉnh'!$B$7:$B$19999&amp;'2.1 QĐ GPMB nhanh Đ.Chỉnh'!$D$7:$D$19999,0))))</f>
        <v>45397</v>
      </c>
      <c r="J23" s="7" t="s">
        <v>110</v>
      </c>
      <c r="K23" s="7" t="s">
        <v>152</v>
      </c>
      <c r="L23" s="7" t="s">
        <v>112</v>
      </c>
      <c r="M23" s="7" t="s">
        <v>114</v>
      </c>
      <c r="N23" s="124">
        <v>0</v>
      </c>
      <c r="O23" s="124">
        <v>70000000</v>
      </c>
      <c r="P23" s="41">
        <f t="shared" si="1"/>
        <v>70000000</v>
      </c>
      <c r="Q23" s="12">
        <f t="shared" si="2"/>
        <v>0</v>
      </c>
      <c r="R23" s="36"/>
      <c r="S23" s="36"/>
      <c r="T23" s="36"/>
      <c r="U23" s="36"/>
      <c r="V23" s="36"/>
      <c r="W23" s="36"/>
      <c r="X23" s="36"/>
      <c r="Y23" s="36"/>
      <c r="Z23" s="36">
        <v>0</v>
      </c>
      <c r="AA23" s="36">
        <v>0</v>
      </c>
      <c r="AB23" s="36">
        <v>0</v>
      </c>
      <c r="AC23" s="36">
        <v>0</v>
      </c>
      <c r="AD23" s="36">
        <v>0</v>
      </c>
      <c r="AE23" s="36">
        <v>0</v>
      </c>
    </row>
    <row r="24" spans="1:31" x14ac:dyDescent="0.25">
      <c r="A24" s="7">
        <v>14</v>
      </c>
      <c r="B24" s="8">
        <v>130</v>
      </c>
      <c r="C24" s="9">
        <f>IF(B24&lt;&gt;"",INDEX(Table6[N/T/N PABT gốc],MATCH(B24,Table6[Số QĐ bồi thường gốc],0)),"")</f>
        <v>45387</v>
      </c>
      <c r="D24" s="8">
        <v>132</v>
      </c>
      <c r="E24" s="9" cm="1">
        <f t="array" ref="E24">IF(D24&lt;&gt;"",INDEX('2. QĐ PABT Đ.Chỉnh'!$E$7:$E$19989,MATCH(B24&amp;D24,'2. QĐ PABT Đ.Chỉnh'!$B$7:$B$19989&amp;'2. QĐ PABT Đ.Chỉnh'!$D$7:$D$19989,0)),"")</f>
        <v>45397</v>
      </c>
      <c r="F24" s="8">
        <v>230</v>
      </c>
      <c r="G24" s="9" cm="1">
        <f t="array" ref="G24">IF(F24="","",IF(OR(B24="Tạm ứng",B24=""),"",INDEX('1. QĐ PABT K.hợp GPMB nhanh'!$E$7:$E$20000,MATCH(B24&amp;F24,'1. QĐ PABT K.hợp GPMB nhanh'!$B$7:$B$20000&amp;'1. QĐ PABT K.hợp GPMB nhanh'!$D$7:$D$20000,0))))</f>
        <v>45392</v>
      </c>
      <c r="H24" s="8" t="s">
        <v>136</v>
      </c>
      <c r="I24" s="9" cm="1">
        <f t="array" ref="I24">IF(H24="","",IF(OR(F24="Tạm ứng",F24=""),"",INDEX('2.1 QĐ GPMB nhanh Đ.Chỉnh'!$E$7:$E$19999,MATCH(F24&amp;H24,'2.1 QĐ GPMB nhanh Đ.Chỉnh'!$B$7:$B$19999&amp;'2.1 QĐ GPMB nhanh Đ.Chỉnh'!$D$7:$D$19999,0))))</f>
        <v>45402</v>
      </c>
      <c r="J24" s="7" t="s">
        <v>110</v>
      </c>
      <c r="K24" s="7" t="s">
        <v>152</v>
      </c>
      <c r="L24" s="7" t="s">
        <v>112</v>
      </c>
      <c r="M24" s="7" t="s">
        <v>114</v>
      </c>
      <c r="N24" s="124">
        <v>0</v>
      </c>
      <c r="O24" s="124">
        <v>80000000</v>
      </c>
      <c r="P24" s="41">
        <f t="shared" si="1"/>
        <v>80000000</v>
      </c>
      <c r="Q24" s="12">
        <f t="shared" si="2"/>
        <v>0</v>
      </c>
      <c r="R24" s="37"/>
      <c r="S24" s="37"/>
      <c r="T24" s="37"/>
      <c r="U24" s="37"/>
      <c r="V24" s="37"/>
      <c r="W24" s="37"/>
      <c r="X24" s="37"/>
      <c r="Y24" s="37"/>
      <c r="Z24" s="37">
        <v>0</v>
      </c>
      <c r="AA24" s="37">
        <v>0</v>
      </c>
      <c r="AB24" s="37">
        <v>0</v>
      </c>
      <c r="AC24" s="37">
        <v>0</v>
      </c>
      <c r="AD24" s="37">
        <v>0</v>
      </c>
      <c r="AE24" s="37">
        <v>0</v>
      </c>
    </row>
    <row r="25" spans="1:31" x14ac:dyDescent="0.25">
      <c r="A25" s="7">
        <v>15</v>
      </c>
      <c r="B25" s="8">
        <v>140</v>
      </c>
      <c r="C25" s="9">
        <f>IF(B25&lt;&gt;"",INDEX(Table6[N/T/N PABT gốc],MATCH(B25,Table6[Số QĐ bồi thường gốc],0)),"")</f>
        <v>45417</v>
      </c>
      <c r="D25" s="8"/>
      <c r="E25" s="9" t="str" cm="1">
        <f t="array" ref="E25">IF(D25&lt;&gt;"",INDEX('2. QĐ PABT Đ.Chỉnh'!$E$7:$E$19989,MATCH(B25&amp;D25,'2. QĐ PABT Đ.Chỉnh'!$B$7:$B$19989&amp;'2. QĐ PABT Đ.Chỉnh'!$D$7:$D$19989,0)),"")</f>
        <v/>
      </c>
      <c r="F25" s="8"/>
      <c r="G25" s="9" t="str" cm="1">
        <f t="array" ref="G25">IF(F25="","",IF(OR(B25="Tạm ứng",B25=""),"",INDEX('1. QĐ PABT K.hợp GPMB nhanh'!$E$7:$E$20000,MATCH(B25&amp;F25,'1. QĐ PABT K.hợp GPMB nhanh'!$B$7:$B$20000&amp;'1. QĐ PABT K.hợp GPMB nhanh'!$D$7:$D$20000,0))))</f>
        <v/>
      </c>
      <c r="H25" s="8"/>
      <c r="I25" s="9" t="str" cm="1">
        <f t="array" ref="I25">IF(H25="","",IF(OR(F25="Tạm ứng",F25=""),"",INDEX('2.1 QĐ GPMB nhanh Đ.Chỉnh'!$E$7:$E$19999,MATCH(F25&amp;H25,'2.1 QĐ GPMB nhanh Đ.Chỉnh'!$B$7:$B$19999&amp;'2.1 QĐ GPMB nhanh Đ.Chỉnh'!$D$7:$D$19999,0))))</f>
        <v/>
      </c>
      <c r="J25" s="7" t="s">
        <v>110</v>
      </c>
      <c r="K25" s="7" t="s">
        <v>152</v>
      </c>
      <c r="L25" s="7" t="s">
        <v>112</v>
      </c>
      <c r="M25" s="7" t="s">
        <v>114</v>
      </c>
      <c r="N25" s="124">
        <v>1000000000</v>
      </c>
      <c r="O25" s="124">
        <v>0</v>
      </c>
      <c r="P25" s="41">
        <f t="shared" si="1"/>
        <v>1000000000</v>
      </c>
      <c r="Q25" s="12">
        <f t="shared" si="2"/>
        <v>0</v>
      </c>
      <c r="R25" s="37"/>
      <c r="S25" s="37"/>
      <c r="T25" s="37"/>
      <c r="U25" s="37"/>
      <c r="V25" s="37"/>
      <c r="W25" s="37"/>
      <c r="X25" s="37"/>
      <c r="Y25" s="37"/>
      <c r="Z25" s="37">
        <v>0</v>
      </c>
      <c r="AA25" s="37">
        <v>0</v>
      </c>
      <c r="AB25" s="37">
        <v>0</v>
      </c>
      <c r="AC25" s="37">
        <v>0</v>
      </c>
      <c r="AD25" s="37">
        <v>0</v>
      </c>
      <c r="AE25" s="37">
        <v>0</v>
      </c>
    </row>
    <row r="26" spans="1:31" x14ac:dyDescent="0.25">
      <c r="A26" s="7">
        <v>17</v>
      </c>
      <c r="B26" s="8">
        <v>140</v>
      </c>
      <c r="C26" s="9">
        <f>IF(B26&lt;&gt;"",INDEX(Table6[N/T/N PABT gốc],MATCH(B26,Table6[Số QĐ bồi thường gốc],0)),"")</f>
        <v>45417</v>
      </c>
      <c r="D26" s="8"/>
      <c r="E26" s="9" t="str" cm="1">
        <f t="array" ref="E26">IF(D26&lt;&gt;"",INDEX('2. QĐ PABT Đ.Chỉnh'!$E$7:$E$19989,MATCH(B26&amp;D26,'2. QĐ PABT Đ.Chỉnh'!$B$7:$B$19989&amp;'2. QĐ PABT Đ.Chỉnh'!$D$7:$D$19989,0)),"")</f>
        <v/>
      </c>
      <c r="F26" s="8">
        <v>240</v>
      </c>
      <c r="G26" s="9" cm="1">
        <f t="array" ref="G26">IF(F26="","",IF(OR(B26="Tạm ứng",B26=""),"",INDEX('1. QĐ PABT K.hợp GPMB nhanh'!$E$7:$E$20000,MATCH(B26&amp;F26,'1. QĐ PABT K.hợp GPMB nhanh'!$B$7:$B$20000&amp;'1. QĐ PABT K.hợp GPMB nhanh'!$D$7:$D$20000,0))))</f>
        <v>45422</v>
      </c>
      <c r="H26" s="8"/>
      <c r="I26" s="9" t="str" cm="1">
        <f t="array" ref="I26">IF(H26="","",IF(OR(F26="Tạm ứng",F26=""),"",INDEX('2.1 QĐ GPMB nhanh Đ.Chỉnh'!$E$7:$E$19999,MATCH(F26&amp;H26,'2.1 QĐ GPMB nhanh Đ.Chỉnh'!$B$7:$B$19999&amp;'2.1 QĐ GPMB nhanh Đ.Chỉnh'!$D$7:$D$19999,0))))</f>
        <v/>
      </c>
      <c r="J26" s="7" t="s">
        <v>110</v>
      </c>
      <c r="K26" s="7" t="s">
        <v>152</v>
      </c>
      <c r="L26" s="7" t="s">
        <v>112</v>
      </c>
      <c r="M26" s="7" t="s">
        <v>114</v>
      </c>
      <c r="N26" s="124">
        <v>0</v>
      </c>
      <c r="O26" s="124">
        <v>100000000</v>
      </c>
      <c r="P26" s="41">
        <f t="shared" si="1"/>
        <v>100000000</v>
      </c>
      <c r="Q26" s="12">
        <f t="shared" si="2"/>
        <v>0</v>
      </c>
      <c r="R26" s="36"/>
      <c r="S26" s="36"/>
      <c r="T26" s="36"/>
      <c r="U26" s="36"/>
      <c r="V26" s="36"/>
      <c r="W26" s="36"/>
      <c r="X26" s="36"/>
      <c r="Y26" s="36"/>
      <c r="Z26" s="36">
        <v>0</v>
      </c>
      <c r="AA26" s="36">
        <v>0</v>
      </c>
      <c r="AB26" s="36">
        <v>0</v>
      </c>
      <c r="AC26" s="36">
        <v>0</v>
      </c>
      <c r="AD26" s="36">
        <v>0</v>
      </c>
      <c r="AE26" s="36">
        <v>0</v>
      </c>
    </row>
    <row r="27" spans="1:31" x14ac:dyDescent="0.25">
      <c r="A27" s="7">
        <v>18</v>
      </c>
      <c r="B27" s="8">
        <v>140</v>
      </c>
      <c r="C27" s="9">
        <f>IF(B27&lt;&gt;"",INDEX(Table6[N/T/N PABT gốc],MATCH(B27,Table6[Số QĐ bồi thường gốc],0)),"")</f>
        <v>45417</v>
      </c>
      <c r="D27" s="8">
        <v>141</v>
      </c>
      <c r="E27" s="9" cm="1">
        <f t="array" ref="E27">IF(D27&lt;&gt;"",INDEX('2. QĐ PABT Đ.Chỉnh'!$E$7:$E$19989,MATCH(B27&amp;D27,'2. QĐ PABT Đ.Chỉnh'!$B$7:$B$19989&amp;'2. QĐ PABT Đ.Chỉnh'!$D$7:$D$19989,0)),"")</f>
        <v>45427</v>
      </c>
      <c r="F27" s="8"/>
      <c r="G27" s="9" t="str" cm="1">
        <f t="array" ref="G27">IF(F27="","",IF(OR(B27="Tạm ứng",B27=""),"",INDEX('1. QĐ PABT K.hợp GPMB nhanh'!$E$7:$E$20000,MATCH(B27&amp;F27,'1. QĐ PABT K.hợp GPMB nhanh'!$B$7:$B$20000&amp;'1. QĐ PABT K.hợp GPMB nhanh'!$D$7:$D$20000,0))))</f>
        <v/>
      </c>
      <c r="H27" s="8"/>
      <c r="I27" s="9" t="str" cm="1">
        <f t="array" ref="I27">IF(H27="","",IF(OR(F27="Tạm ứng",F27=""),"",INDEX('2.1 QĐ GPMB nhanh Đ.Chỉnh'!$E$7:$E$19999,MATCH(F27&amp;H27,'2.1 QĐ GPMB nhanh Đ.Chỉnh'!$B$7:$B$19999&amp;'2.1 QĐ GPMB nhanh Đ.Chỉnh'!$D$7:$D$19999,0))))</f>
        <v/>
      </c>
      <c r="J27" s="7" t="s">
        <v>110</v>
      </c>
      <c r="K27" s="7" t="s">
        <v>152</v>
      </c>
      <c r="L27" s="7" t="s">
        <v>112</v>
      </c>
      <c r="M27" s="7" t="s">
        <v>114</v>
      </c>
      <c r="N27" s="124">
        <v>-100000000</v>
      </c>
      <c r="O27" s="124">
        <v>0</v>
      </c>
      <c r="P27" s="41">
        <f t="shared" si="1"/>
        <v>-100000000</v>
      </c>
      <c r="Q27" s="12">
        <f t="shared" si="2"/>
        <v>0</v>
      </c>
      <c r="R27" s="36"/>
      <c r="S27" s="36"/>
      <c r="T27" s="36"/>
      <c r="U27" s="36"/>
      <c r="V27" s="36"/>
      <c r="W27" s="36"/>
      <c r="X27" s="36"/>
      <c r="Y27" s="36"/>
      <c r="Z27" s="37">
        <v>0</v>
      </c>
      <c r="AA27" s="37">
        <v>0</v>
      </c>
      <c r="AB27" s="37">
        <v>0</v>
      </c>
      <c r="AC27" s="37">
        <v>0</v>
      </c>
      <c r="AD27" s="37">
        <v>0</v>
      </c>
      <c r="AE27" s="37">
        <v>0</v>
      </c>
    </row>
    <row r="28" spans="1:31" x14ac:dyDescent="0.25">
      <c r="A28" s="7">
        <v>19</v>
      </c>
      <c r="B28" s="8">
        <v>140</v>
      </c>
      <c r="C28" s="9">
        <f>IF(B28&lt;&gt;"",INDEX(Table6[N/T/N PABT gốc],MATCH(B28,Table6[Số QĐ bồi thường gốc],0)),"")</f>
        <v>45417</v>
      </c>
      <c r="D28" s="7"/>
      <c r="E28" s="9" t="str" cm="1">
        <f t="array" ref="E28">IF(D28&lt;&gt;"",INDEX('2. QĐ PABT Đ.Chỉnh'!$E$7:$E$19989,MATCH(B28&amp;D28,'2. QĐ PABT Đ.Chỉnh'!$B$7:$B$19989&amp;'2. QĐ PABT Đ.Chỉnh'!$D$7:$D$19989,0)),"")</f>
        <v/>
      </c>
      <c r="F28" s="8">
        <v>240</v>
      </c>
      <c r="G28" s="9" cm="1">
        <f t="array" ref="G28">IF(F28="","",IF(OR(B28="Tạm ứng",B28=""),"",INDEX('1. QĐ PABT K.hợp GPMB nhanh'!$E$7:$E$20000,MATCH(B28&amp;F28,'1. QĐ PABT K.hợp GPMB nhanh'!$B$7:$B$20000&amp;'1. QĐ PABT K.hợp GPMB nhanh'!$D$7:$D$20000,0))))</f>
        <v>45422</v>
      </c>
      <c r="H28" s="8">
        <v>241</v>
      </c>
      <c r="I28" s="9" cm="1">
        <f t="array" ref="I28">IF(H28="","",IF(OR(F28="Tạm ứng",F28=""),"",INDEX('2.1 QĐ GPMB nhanh Đ.Chỉnh'!$E$7:$E$19999,MATCH(F28&amp;H28,'2.1 QĐ GPMB nhanh Đ.Chỉnh'!$B$7:$B$19999&amp;'2.1 QĐ GPMB nhanh Đ.Chỉnh'!$D$7:$D$19999,0))))</f>
        <v>45432</v>
      </c>
      <c r="J28" s="7" t="s">
        <v>110</v>
      </c>
      <c r="K28" s="7" t="s">
        <v>152</v>
      </c>
      <c r="L28" s="7" t="s">
        <v>112</v>
      </c>
      <c r="M28" s="7" t="s">
        <v>114</v>
      </c>
      <c r="N28" s="124">
        <v>0</v>
      </c>
      <c r="O28" s="124">
        <v>-10000000</v>
      </c>
      <c r="P28" s="41">
        <f t="shared" si="1"/>
        <v>-10000000</v>
      </c>
      <c r="Q28" s="12">
        <f t="shared" si="2"/>
        <v>0</v>
      </c>
      <c r="R28" s="59"/>
      <c r="S28" s="59"/>
      <c r="T28" s="59"/>
      <c r="U28" s="59"/>
      <c r="V28" s="59"/>
      <c r="W28" s="59"/>
      <c r="X28" s="59"/>
      <c r="Y28" s="59"/>
      <c r="Z28" s="59"/>
      <c r="AA28" s="59"/>
      <c r="AB28" s="59"/>
      <c r="AC28" s="59"/>
      <c r="AD28" s="59"/>
      <c r="AE28" s="59"/>
    </row>
    <row r="29" spans="1:31" x14ac:dyDescent="0.25">
      <c r="A29" s="7">
        <v>20</v>
      </c>
      <c r="B29" s="8"/>
      <c r="C29" s="9" t="str">
        <f>IF(B29&lt;&gt;"",INDEX(Table6[N/T/N PABT gốc],MATCH(B29,Table6[Số QĐ bồi thường gốc],0)),"")</f>
        <v/>
      </c>
      <c r="D29" s="7"/>
      <c r="E29" s="9" t="str" cm="1">
        <f t="array" ref="E29">IF(D29&lt;&gt;"",INDEX('2. QĐ PABT Đ.Chỉnh'!$E$7:$E$19989,MATCH(B29&amp;D29,'2. QĐ PABT Đ.Chỉnh'!$B$7:$B$19989&amp;'2. QĐ PABT Đ.Chỉnh'!$D$7:$D$19989,0)),"")</f>
        <v/>
      </c>
      <c r="F29" s="8"/>
      <c r="G29" s="9" t="str" cm="1">
        <f t="array" ref="G29">IF(F29="","",IF(OR(B29="Tạm ứng",B29=""),"",INDEX('1. QĐ PABT K.hợp GPMB nhanh'!$E$7:$E$20000,MATCH(B29&amp;F29,'1. QĐ PABT K.hợp GPMB nhanh'!$B$7:$B$20000&amp;'1. QĐ PABT K.hợp GPMB nhanh'!$D$7:$D$20000,0))))</f>
        <v/>
      </c>
      <c r="H29" s="8"/>
      <c r="I29" s="9" t="str" cm="1">
        <f t="array" ref="I29">IF(H29="","",IF(OR(F29="Tạm ứng",F29=""),"",INDEX('2.1 QĐ GPMB nhanh Đ.Chỉnh'!$E$7:$E$19999,MATCH(F29&amp;H29,'2.1 QĐ GPMB nhanh Đ.Chỉnh'!$B$7:$B$19999&amp;'2.1 QĐ GPMB nhanh Đ.Chỉnh'!$D$7:$D$19999,0))))</f>
        <v/>
      </c>
      <c r="J29" s="7"/>
      <c r="K29" s="7"/>
      <c r="L29" s="7"/>
      <c r="M29" s="7"/>
      <c r="N29" s="124"/>
      <c r="O29" s="124"/>
      <c r="P29" s="41">
        <f t="shared" si="1"/>
        <v>0</v>
      </c>
      <c r="Q29" s="12">
        <f t="shared" si="2"/>
        <v>0</v>
      </c>
      <c r="R29" s="59"/>
      <c r="S29" s="59"/>
      <c r="T29" s="59"/>
      <c r="U29" s="59"/>
      <c r="V29" s="59"/>
      <c r="W29" s="59"/>
      <c r="X29" s="59"/>
      <c r="Y29" s="59"/>
      <c r="Z29" s="59"/>
      <c r="AA29" s="59"/>
      <c r="AB29" s="59"/>
      <c r="AC29" s="59"/>
      <c r="AD29" s="59"/>
      <c r="AE29" s="59"/>
    </row>
    <row r="30" spans="1:31" x14ac:dyDescent="0.25">
      <c r="A30" s="7">
        <v>21</v>
      </c>
      <c r="B30" s="8"/>
      <c r="C30" s="9" t="str">
        <f>IF(B30&lt;&gt;"",INDEX(Table6[N/T/N PABT gốc],MATCH(B30,Table6[Số QĐ bồi thường gốc],0)),"")</f>
        <v/>
      </c>
      <c r="D30" s="7"/>
      <c r="E30" s="9" t="str" cm="1">
        <f t="array" ref="E30">IF(D30&lt;&gt;"",INDEX('2. QĐ PABT Đ.Chỉnh'!$E$7:$E$19989,MATCH(B30&amp;D30,'2. QĐ PABT Đ.Chỉnh'!$B$7:$B$19989&amp;'2. QĐ PABT Đ.Chỉnh'!$D$7:$D$19989,0)),"")</f>
        <v/>
      </c>
      <c r="F30" s="8"/>
      <c r="G30" s="9" t="str" cm="1">
        <f t="array" ref="G30">IF(F30="","",IF(OR(B30="Tạm ứng",B30=""),"",INDEX('1. QĐ PABT K.hợp GPMB nhanh'!$E$7:$E$20000,MATCH(B30&amp;F30,'1. QĐ PABT K.hợp GPMB nhanh'!$B$7:$B$20000&amp;'1. QĐ PABT K.hợp GPMB nhanh'!$D$7:$D$20000,0))))</f>
        <v/>
      </c>
      <c r="H30" s="8"/>
      <c r="I30" s="9" t="str" cm="1">
        <f t="array" ref="I30">IF(H30="","",IF(OR(F30="Tạm ứng",F30=""),"",INDEX('2.1 QĐ GPMB nhanh Đ.Chỉnh'!$E$7:$E$19999,MATCH(F30&amp;H30,'2.1 QĐ GPMB nhanh Đ.Chỉnh'!$B$7:$B$19999&amp;'2.1 QĐ GPMB nhanh Đ.Chỉnh'!$D$7:$D$19999,0))))</f>
        <v/>
      </c>
      <c r="J30" s="7"/>
      <c r="K30" s="7"/>
      <c r="L30" s="7"/>
      <c r="M30" s="7"/>
      <c r="N30" s="124"/>
      <c r="O30" s="124"/>
      <c r="P30" s="41">
        <f t="shared" si="1"/>
        <v>0</v>
      </c>
      <c r="Q30" s="12">
        <f t="shared" si="2"/>
        <v>0</v>
      </c>
      <c r="R30" s="59"/>
      <c r="S30" s="59"/>
      <c r="T30" s="59"/>
      <c r="U30" s="59"/>
      <c r="V30" s="59"/>
      <c r="W30" s="59"/>
      <c r="X30" s="59"/>
      <c r="Y30" s="59"/>
      <c r="Z30" s="59"/>
      <c r="AA30" s="59"/>
      <c r="AB30" s="59"/>
      <c r="AC30" s="59"/>
      <c r="AD30" s="59"/>
      <c r="AE30" s="59"/>
    </row>
    <row r="31" spans="1:31" x14ac:dyDescent="0.25">
      <c r="A31" s="7">
        <v>22</v>
      </c>
      <c r="B31" s="8"/>
      <c r="C31" s="9" t="str">
        <f>IF(B31&lt;&gt;"",INDEX(Table6[N/T/N PABT gốc],MATCH(B31,Table6[Số QĐ bồi thường gốc],0)),"")</f>
        <v/>
      </c>
      <c r="D31" s="7"/>
      <c r="E31" s="9" t="str" cm="1">
        <f t="array" ref="E31">IF(D31&lt;&gt;"",INDEX('2. QĐ PABT Đ.Chỉnh'!$E$7:$E$19989,MATCH(B31&amp;D31,'2. QĐ PABT Đ.Chỉnh'!$B$7:$B$19989&amp;'2. QĐ PABT Đ.Chỉnh'!$D$7:$D$19989,0)),"")</f>
        <v/>
      </c>
      <c r="F31" s="8"/>
      <c r="G31" s="9" t="str" cm="1">
        <f t="array" ref="G31">IF(F31="","",IF(OR(B31="Tạm ứng",B31=""),"",INDEX('1. QĐ PABT K.hợp GPMB nhanh'!$E$7:$E$20000,MATCH(B31&amp;F31,'1. QĐ PABT K.hợp GPMB nhanh'!$B$7:$B$20000&amp;'1. QĐ PABT K.hợp GPMB nhanh'!$D$7:$D$20000,0))))</f>
        <v/>
      </c>
      <c r="H31" s="8"/>
      <c r="I31" s="9" t="str" cm="1">
        <f t="array" ref="I31">IF(H31="","",IF(OR(F31="Tạm ứng",F31=""),"",INDEX('2.1 QĐ GPMB nhanh Đ.Chỉnh'!$E$7:$E$19999,MATCH(F31&amp;H31,'2.1 QĐ GPMB nhanh Đ.Chỉnh'!$B$7:$B$19999&amp;'2.1 QĐ GPMB nhanh Đ.Chỉnh'!$D$7:$D$19999,0))))</f>
        <v/>
      </c>
      <c r="J31" s="7"/>
      <c r="K31" s="7"/>
      <c r="L31" s="7"/>
      <c r="M31" s="7"/>
      <c r="N31" s="124"/>
      <c r="O31" s="124"/>
      <c r="P31" s="41">
        <f t="shared" si="1"/>
        <v>0</v>
      </c>
      <c r="Q31" s="12">
        <f t="shared" si="2"/>
        <v>0</v>
      </c>
      <c r="R31" s="59"/>
      <c r="S31" s="59"/>
      <c r="T31" s="59"/>
      <c r="U31" s="59"/>
      <c r="V31" s="59"/>
      <c r="W31" s="59"/>
      <c r="X31" s="59"/>
      <c r="Y31" s="59"/>
      <c r="Z31" s="59"/>
      <c r="AA31" s="59"/>
      <c r="AB31" s="59"/>
      <c r="AC31" s="59"/>
      <c r="AD31" s="59"/>
      <c r="AE31" s="59"/>
    </row>
    <row r="32" spans="1:31" x14ac:dyDescent="0.25">
      <c r="A32" s="7">
        <v>23</v>
      </c>
      <c r="B32" s="8"/>
      <c r="C32" s="9" t="str">
        <f>IF(B32&lt;&gt;"",INDEX(Table6[N/T/N PABT gốc],MATCH(B32,Table6[Số QĐ bồi thường gốc],0)),"")</f>
        <v/>
      </c>
      <c r="D32" s="7"/>
      <c r="E32" s="9" t="str" cm="1">
        <f t="array" ref="E32">IF(D32&lt;&gt;"",INDEX('2. QĐ PABT Đ.Chỉnh'!$E$7:$E$19989,MATCH(B32&amp;D32,'2. QĐ PABT Đ.Chỉnh'!$B$7:$B$19989&amp;'2. QĐ PABT Đ.Chỉnh'!$D$7:$D$19989,0)),"")</f>
        <v/>
      </c>
      <c r="F32" s="8"/>
      <c r="G32" s="9" t="str" cm="1">
        <f t="array" ref="G32">IF(F32="","",IF(OR(B32="Tạm ứng",B32=""),"",INDEX('1. QĐ PABT K.hợp GPMB nhanh'!$E$7:$E$20000,MATCH(B32&amp;F32,'1. QĐ PABT K.hợp GPMB nhanh'!$B$7:$B$20000&amp;'1. QĐ PABT K.hợp GPMB nhanh'!$D$7:$D$20000,0))))</f>
        <v/>
      </c>
      <c r="H32" s="8"/>
      <c r="I32" s="9" t="str" cm="1">
        <f t="array" ref="I32">IF(H32="","",IF(OR(F32="Tạm ứng",F32=""),"",INDEX('2.1 QĐ GPMB nhanh Đ.Chỉnh'!$E$7:$E$19999,MATCH(F32&amp;H32,'2.1 QĐ GPMB nhanh Đ.Chỉnh'!$B$7:$B$19999&amp;'2.1 QĐ GPMB nhanh Đ.Chỉnh'!$D$7:$D$19999,0))))</f>
        <v/>
      </c>
      <c r="J32" s="7"/>
      <c r="K32" s="7"/>
      <c r="L32" s="7"/>
      <c r="M32" s="7"/>
      <c r="N32" s="124"/>
      <c r="O32" s="124"/>
      <c r="P32" s="41">
        <f t="shared" si="1"/>
        <v>0</v>
      </c>
      <c r="Q32" s="12">
        <f t="shared" si="2"/>
        <v>0</v>
      </c>
      <c r="R32" s="59"/>
      <c r="S32" s="59"/>
      <c r="T32" s="59"/>
      <c r="U32" s="59"/>
      <c r="V32" s="59"/>
      <c r="W32" s="59"/>
      <c r="X32" s="59"/>
      <c r="Y32" s="59"/>
      <c r="Z32" s="59"/>
      <c r="AA32" s="59"/>
      <c r="AB32" s="59"/>
      <c r="AC32" s="59"/>
      <c r="AD32" s="59"/>
      <c r="AE32" s="59"/>
    </row>
    <row r="33" spans="1:31" x14ac:dyDescent="0.25">
      <c r="A33" s="7">
        <v>24</v>
      </c>
      <c r="B33" s="8"/>
      <c r="C33" s="9" t="str">
        <f>IF(B33&lt;&gt;"",INDEX(Table6[N/T/N PABT gốc],MATCH(B33,Table6[Số QĐ bồi thường gốc],0)),"")</f>
        <v/>
      </c>
      <c r="D33" s="7"/>
      <c r="E33" s="9" t="str" cm="1">
        <f t="array" ref="E33">IF(D33&lt;&gt;"",INDEX('2. QĐ PABT Đ.Chỉnh'!$E$7:$E$19989,MATCH(B33&amp;D33,'2. QĐ PABT Đ.Chỉnh'!$B$7:$B$19989&amp;'2. QĐ PABT Đ.Chỉnh'!$D$7:$D$19989,0)),"")</f>
        <v/>
      </c>
      <c r="F33" s="8"/>
      <c r="G33" s="9" t="str" cm="1">
        <f t="array" ref="G33">IF(F33="","",IF(OR(B33="Tạm ứng",B33=""),"",INDEX('1. QĐ PABT K.hợp GPMB nhanh'!$E$7:$E$20000,MATCH(B33&amp;F33,'1. QĐ PABT K.hợp GPMB nhanh'!$B$7:$B$20000&amp;'1. QĐ PABT K.hợp GPMB nhanh'!$D$7:$D$20000,0))))</f>
        <v/>
      </c>
      <c r="H33" s="8"/>
      <c r="I33" s="9" t="str" cm="1">
        <f t="array" ref="I33">IF(H33="","",IF(OR(F33="Tạm ứng",F33=""),"",INDEX('2.1 QĐ GPMB nhanh Đ.Chỉnh'!$E$7:$E$19999,MATCH(F33&amp;H33,'2.1 QĐ GPMB nhanh Đ.Chỉnh'!$B$7:$B$19999&amp;'2.1 QĐ GPMB nhanh Đ.Chỉnh'!$D$7:$D$19999,0))))</f>
        <v/>
      </c>
      <c r="J33" s="7"/>
      <c r="K33" s="7"/>
      <c r="L33" s="7"/>
      <c r="M33" s="7"/>
      <c r="N33" s="124"/>
      <c r="O33" s="124"/>
      <c r="P33" s="41">
        <f t="shared" si="1"/>
        <v>0</v>
      </c>
      <c r="Q33" s="12">
        <f t="shared" si="2"/>
        <v>0</v>
      </c>
      <c r="R33" s="59"/>
      <c r="S33" s="59"/>
      <c r="T33" s="59"/>
      <c r="U33" s="59"/>
      <c r="V33" s="59"/>
      <c r="W33" s="59"/>
      <c r="X33" s="59"/>
      <c r="Y33" s="59"/>
      <c r="Z33" s="59"/>
      <c r="AA33" s="59"/>
      <c r="AB33" s="59"/>
      <c r="AC33" s="59"/>
      <c r="AD33" s="59"/>
      <c r="AE33" s="59"/>
    </row>
  </sheetData>
  <autoFilter ref="A7:AE33" xr:uid="{404F91F7-E935-4DD2-8042-21FF5CF2D9B1}"/>
  <mergeCells count="17">
    <mergeCell ref="H9:I9"/>
    <mergeCell ref="H8:I8"/>
    <mergeCell ref="J8:M8"/>
    <mergeCell ref="B9:C9"/>
    <mergeCell ref="D9:E9"/>
    <mergeCell ref="B8:C8"/>
    <mergeCell ref="D8:E8"/>
    <mergeCell ref="F9:G9"/>
    <mergeCell ref="F8:G8"/>
    <mergeCell ref="B6:E6"/>
    <mergeCell ref="J6:M6"/>
    <mergeCell ref="N6:P6"/>
    <mergeCell ref="Q6:AE6"/>
    <mergeCell ref="A1:E1"/>
    <mergeCell ref="A2:E2"/>
    <mergeCell ref="F6:I6"/>
    <mergeCell ref="A4:Q4"/>
  </mergeCells>
  <phoneticPr fontId="15" type="noConversion"/>
  <dataValidations count="4">
    <dataValidation type="list" allowBlank="1" showInputMessage="1" showErrorMessage="1" sqref="D11:D27" xr:uid="{582026A5-44D7-4A37-9E24-ECF5A58B9D54}">
      <formula1>CTPABT_QĐPABT_điều_chỉnh</formula1>
    </dataValidation>
    <dataValidation type="list" allowBlank="1" showInputMessage="1" showErrorMessage="1" sqref="H11:H33" xr:uid="{9B35FA25-6898-4EF7-A8D1-EC32AAB1739C}">
      <formula1>CTPABT_QĐGPMBNHANHĐIỀUCHỈNH</formula1>
    </dataValidation>
    <dataValidation type="list" allowBlank="1" showInputMessage="1" showErrorMessage="1" sqref="B11 B13:B33" xr:uid="{EB8C24EF-4B80-4A02-B1A1-D6CAF57CF91C}">
      <formula1>Số_QĐ_phương_án_bồi_thường_gốc</formula1>
    </dataValidation>
    <dataValidation type="list" allowBlank="1" showInputMessage="1" showErrorMessage="1" sqref="F11:F33" xr:uid="{5A61BBB1-EEDD-4BB5-829B-2D7DBA5767E4}">
      <formula1>CTPABT_QĐGPMBNHANHGỐC</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DBB4C7D-8E4A-4B7A-BEE1-F36E3FA1AC24}">
          <x14:formula1>
            <xm:f>'DM PABT'!$B$8:$B$13</xm:f>
          </x14:formula1>
          <xm:sqref>B12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D87F-EB98-45FB-8463-0533360A3428}">
  <sheetPr>
    <tabColor rgb="FF92D050"/>
  </sheetPr>
  <dimension ref="A1:R30"/>
  <sheetViews>
    <sheetView zoomScale="88" zoomScaleNormal="88" workbookViewId="0">
      <selection activeCell="E10" sqref="E10"/>
    </sheetView>
  </sheetViews>
  <sheetFormatPr defaultColWidth="8.85546875" defaultRowHeight="12.75" x14ac:dyDescent="0.25"/>
  <cols>
    <col min="1" max="1" width="4.7109375" style="16" customWidth="1"/>
    <col min="2" max="2" width="9.85546875" style="13" customWidth="1"/>
    <col min="3" max="3" width="11.28515625" style="26" bestFit="1" customWidth="1"/>
    <col min="4" max="4" width="11.85546875" style="13" customWidth="1"/>
    <col min="5" max="5" width="11.28515625" style="26" bestFit="1" customWidth="1"/>
    <col min="6" max="6" width="19.7109375" style="13" customWidth="1"/>
    <col min="7" max="9" width="11.5703125" style="13" customWidth="1"/>
    <col min="10" max="18" width="14.42578125" style="50" customWidth="1"/>
    <col min="19" max="16384" width="8.85546875" style="16"/>
  </cols>
  <sheetData>
    <row r="1" spans="1:18" ht="13.9" customHeight="1" x14ac:dyDescent="0.25">
      <c r="A1" s="169" t="s">
        <v>9</v>
      </c>
      <c r="B1" s="169"/>
      <c r="C1" s="169"/>
      <c r="D1" s="169"/>
      <c r="E1" s="169"/>
      <c r="F1" s="169"/>
      <c r="G1" s="52"/>
    </row>
    <row r="2" spans="1:18" ht="13.9" customHeight="1" x14ac:dyDescent="0.25">
      <c r="A2" s="169" t="s">
        <v>10</v>
      </c>
      <c r="B2" s="169"/>
      <c r="C2" s="169"/>
      <c r="D2" s="169"/>
      <c r="E2" s="169"/>
      <c r="F2" s="169"/>
      <c r="G2" s="52"/>
    </row>
    <row r="3" spans="1:18" x14ac:dyDescent="0.25">
      <c r="F3" s="69"/>
      <c r="G3" s="52"/>
    </row>
    <row r="4" spans="1:18" ht="26.45" customHeight="1" x14ac:dyDescent="0.25">
      <c r="A4" s="169" t="s">
        <v>215</v>
      </c>
      <c r="B4" s="169"/>
      <c r="C4" s="169"/>
      <c r="D4" s="169"/>
      <c r="E4" s="169"/>
      <c r="F4" s="169"/>
      <c r="G4" s="169"/>
      <c r="H4" s="169"/>
      <c r="I4" s="169"/>
      <c r="J4" s="169"/>
      <c r="K4" s="169"/>
      <c r="L4" s="169"/>
      <c r="M4" s="169"/>
      <c r="N4" s="169"/>
      <c r="O4" s="169"/>
      <c r="P4" s="169"/>
      <c r="Q4" s="169"/>
      <c r="R4" s="169"/>
    </row>
    <row r="6" spans="1:18" ht="27" customHeight="1" x14ac:dyDescent="0.25">
      <c r="A6" s="180" t="s">
        <v>0</v>
      </c>
      <c r="B6" s="180" t="s">
        <v>35</v>
      </c>
      <c r="C6" s="180"/>
      <c r="D6" s="180" t="s">
        <v>60</v>
      </c>
      <c r="E6" s="180"/>
      <c r="F6" s="181" t="s">
        <v>40</v>
      </c>
      <c r="G6" s="181"/>
      <c r="H6" s="181"/>
      <c r="I6" s="181"/>
      <c r="J6" s="182" t="s">
        <v>137</v>
      </c>
      <c r="K6" s="182"/>
      <c r="L6" s="182"/>
      <c r="M6" s="174" t="s">
        <v>103</v>
      </c>
      <c r="N6" s="175"/>
      <c r="O6" s="183"/>
      <c r="P6" s="174" t="s">
        <v>138</v>
      </c>
      <c r="Q6" s="175"/>
      <c r="R6" s="183"/>
    </row>
    <row r="7" spans="1:18" ht="40.15" customHeight="1" x14ac:dyDescent="0.25">
      <c r="A7" s="180"/>
      <c r="B7" s="149" t="s">
        <v>217</v>
      </c>
      <c r="C7" s="150" t="s">
        <v>204</v>
      </c>
      <c r="D7" s="149" t="s">
        <v>63</v>
      </c>
      <c r="E7" s="150" t="s">
        <v>210</v>
      </c>
      <c r="F7" s="151" t="s">
        <v>36</v>
      </c>
      <c r="G7" s="151" t="s">
        <v>133</v>
      </c>
      <c r="H7" s="149" t="s">
        <v>154</v>
      </c>
      <c r="I7" s="149" t="s">
        <v>82</v>
      </c>
      <c r="J7" s="104" t="s">
        <v>213</v>
      </c>
      <c r="K7" s="104" t="s">
        <v>214</v>
      </c>
      <c r="L7" s="104" t="s">
        <v>59</v>
      </c>
      <c r="M7" s="104" t="s">
        <v>213</v>
      </c>
      <c r="N7" s="104" t="s">
        <v>214</v>
      </c>
      <c r="O7" s="104" t="s">
        <v>59</v>
      </c>
      <c r="P7" s="104" t="s">
        <v>213</v>
      </c>
      <c r="Q7" s="104" t="s">
        <v>214</v>
      </c>
      <c r="R7" s="104" t="s">
        <v>59</v>
      </c>
    </row>
    <row r="8" spans="1:18" ht="13.15" customHeight="1" x14ac:dyDescent="0.25">
      <c r="A8" s="117"/>
      <c r="B8" s="117"/>
      <c r="C8" s="117"/>
      <c r="D8" s="117"/>
      <c r="E8" s="117"/>
      <c r="F8" s="117"/>
      <c r="G8" s="117"/>
      <c r="H8" s="117"/>
      <c r="I8" s="117"/>
      <c r="J8" s="38">
        <f t="shared" ref="J8:R8" si="0">SUBTOTAL(9,J9:J28)</f>
        <v>4100000000</v>
      </c>
      <c r="K8" s="38">
        <f t="shared" si="0"/>
        <v>310000000</v>
      </c>
      <c r="L8" s="38">
        <f t="shared" si="0"/>
        <v>4410000000</v>
      </c>
      <c r="M8" s="38">
        <f t="shared" si="0"/>
        <v>3900000000</v>
      </c>
      <c r="N8" s="38">
        <f t="shared" si="0"/>
        <v>310000000</v>
      </c>
      <c r="O8" s="38">
        <f t="shared" si="0"/>
        <v>4210000000</v>
      </c>
      <c r="P8" s="38">
        <f t="shared" si="0"/>
        <v>200000000</v>
      </c>
      <c r="Q8" s="38">
        <f t="shared" si="0"/>
        <v>0</v>
      </c>
      <c r="R8" s="38">
        <f t="shared" si="0"/>
        <v>200000000</v>
      </c>
    </row>
    <row r="9" spans="1:18" x14ac:dyDescent="0.25">
      <c r="A9" s="7">
        <v>1</v>
      </c>
      <c r="B9" s="8" cm="1">
        <f t="array" ref="B9:I16">_xlfn.UNIQUE(_xlfn.SORTBY(_xlfn.HSTACK(_xlfn._xlws.FILTER('4. C.Tiết P.Án B.Thường'!$B$11:$C$19950,('4. C.Tiết P.Án B.Thường'!$B$11:$B$19950&lt;&gt;"Tạm ứng")*('4. C.Tiết P.Án B.Thường'!$D$11:$D$19950&lt;&gt;"Tạm ứng")*('4. C.Tiết P.Án B.Thường'!$F$11:$F$19950&lt;&gt;"Tạm ứng")*('4. C.Tiết P.Án B.Thường'!$H$11:$H$19950&lt;&gt;"Tạm ứng"),0),_xlfn._xlws.FILTER('4. C.Tiết P.Án B.Thường'!$F$11:$G$19950,('4. C.Tiết P.Án B.Thường'!$B$11:$B$19950&lt;&gt;"Tạm ứng")*('4. C.Tiết P.Án B.Thường'!$D$11:$D$19950&lt;&gt;"Tạm ứng")*('4. C.Tiết P.Án B.Thường'!$F$11:$F$19950&lt;&gt;"Tạm ứng")*('4. C.Tiết P.Án B.Thường'!$H$11:$H$19950&lt;&gt;"Tạm ứng"),0),_xlfn._xlws.FILTER('4. C.Tiết P.Án B.Thường'!$J$11:$M$19950,('4. C.Tiết P.Án B.Thường'!$B$11:$B$19950&lt;&gt;"Tạm ứng")*('4. C.Tiết P.Án B.Thường'!$D$11:$D$19950&lt;&gt;"Tạm ứng")*('4. C.Tiết P.Án B.Thường'!$F$11:$F$19950&lt;&gt;"Tạm ứng")*('4. C.Tiết P.Án B.Thường'!$H$11:$H$19950&lt;&gt;"Tạm ứng"),0)),_xlfn._xlws.FILTER('4. C.Tiết P.Án B.Thường'!$B$11:$B$19950,('4. C.Tiết P.Án B.Thường'!$B$11:$B$19950&lt;&gt;"Tạm ứng")*('4. C.Tiết P.Án B.Thường'!$D$11:$D$19950&lt;&gt;"Tạm ứng")*('4. C.Tiết P.Án B.Thường'!$F$11:$F$19950&lt;&gt;"Tạm ứng")*('4. C.Tiết P.Án B.Thường'!$H$11:$H$19950&lt;&gt;"Tạm ứng"),0),1,_xlfn._xlws.FILTER('4. C.Tiết P.Án B.Thường'!$F$11:$F$19950,('4. C.Tiết P.Án B.Thường'!$B$11:$B$19950&lt;&gt;"Tạm ứng")*('4. C.Tiết P.Án B.Thường'!$D$11:$D$19950&lt;&gt;"Tạm ứng")*('4. C.Tiết P.Án B.Thường'!$F$11:$F$19950&lt;&gt;"Tạm ứng")*('4. C.Tiết P.Án B.Thường'!$H$11:$H$19950&lt;&gt;"Tạm ứng"),0),1))</f>
        <v>120</v>
      </c>
      <c r="C9" s="9">
        <v>45356</v>
      </c>
      <c r="D9" s="8">
        <v>220</v>
      </c>
      <c r="E9" s="9">
        <v>45361</v>
      </c>
      <c r="F9" s="8" t="str">
        <v>Nguyễn Đức Anh</v>
      </c>
      <c r="G9" s="8" t="str">
        <v>Tiên Cát</v>
      </c>
      <c r="H9" s="8" t="str">
        <v>Minh Hà</v>
      </c>
      <c r="I9" s="8" t="str">
        <v>123A</v>
      </c>
      <c r="J9" s="98">
        <f>SUMIFS('4. C.Tiết P.Án B.Thường'!$N$11:$N$20001,'4. C.Tiết P.Án B.Thường'!$J$11:$J$20001,'4.1 TH P.Án B.Thường'!$F9,'4. C.Tiết P.Án B.Thường'!$K$11:$K$20001,'4.1 TH P.Án B.Thường'!$G9,'4. C.Tiết P.Án B.Thường'!$L$11:$L$20001,'4.1 TH P.Án B.Thường'!$H9,'4. C.Tiết P.Án B.Thường'!$M$11:$M$20001,'4.1 TH P.Án B.Thường'!$I9,'4. C.Tiết P.Án B.Thường'!$B$11:$B$20001,'4.1 TH P.Án B.Thường'!$B9,'4. C.Tiết P.Án B.Thường'!$D$11:$D$20001,"&lt;&gt;"&amp;"tạm ứng",'4. C.Tiết P.Án B.Thường'!$F$11:$F$20001,IF('4.1 TH P.Án B.Thường'!$D9=0,"",'4.1 TH P.Án B.Thường'!$D9))</f>
        <v>0</v>
      </c>
      <c r="K9" s="98">
        <f>SUMIFS('4. C.Tiết P.Án B.Thường'!$O$11:$O$20001,'4. C.Tiết P.Án B.Thường'!$J$11:$J$20001,'4.1 TH P.Án B.Thường'!$F9,'4. C.Tiết P.Án B.Thường'!$K$11:$K$20001,'4.1 TH P.Án B.Thường'!$G9,'4. C.Tiết P.Án B.Thường'!$L$11:$L$20001,'4.1 TH P.Án B.Thường'!$H9,'4. C.Tiết P.Án B.Thường'!$M$11:$M$20001,'4.1 TH P.Án B.Thường'!$I9,'4. C.Tiết P.Án B.Thường'!$B$11:$B$20001,'4.1 TH P.Án B.Thường'!$B9,'4. C.Tiết P.Án B.Thường'!$F$11:$F$20001,'4.1 TH P.Án B.Thường'!$D9,'4. C.Tiết P.Án B.Thường'!$F$11:$F$20001,"&lt;&gt;"&amp;"Tạm ứng",'4. C.Tiết P.Án B.Thường'!$H$11:$H$20001,"&lt;&gt;"&amp;"Tạm ứng")</f>
        <v>90000000</v>
      </c>
      <c r="L9" s="125">
        <f>J9+K9</f>
        <v>90000000</v>
      </c>
      <c r="M9" s="98">
        <f>(SUMIFS('9. Thu, chi PABT'!$T$11:$T$20001,'9. Thu, chi PABT'!$J$11:$J$20001,'4.1 TH P.Án B.Thường'!$F9,'9. Thu, chi PABT'!$K$11:$K$20001,'4.1 TH P.Án B.Thường'!$G9,'9. Thu, chi PABT'!$L$11:$L$20001,'4.1 TH P.Án B.Thường'!$H9,'9. Thu, chi PABT'!$M$11:$M$20001,'4.1 TH P.Án B.Thường'!$I9,'9. Thu, chi PABT'!$B$11:$B$20001,'4.1 TH P.Án B.Thường'!$B9,'9. Thu, chi PABT'!$D$11:$D$20001,"&lt;&gt;"&amp;"Tạm ứng",'9. Thu, chi PABT'!$F$11:$F$20001,IF('4.1 TH P.Án B.Thường'!$D9=0,"",'4.1 TH P.Án B.Thường'!$D9),'9. Thu, chi PABT'!$H$11:$H$20001,"&lt;&gt;"&amp;"Tạm ứng")-SUMIFS('9. Thu, chi PABT'!$T$11:$T$20001,'9. Thu, chi PABT'!$J$11:$J$20001,'4.1 TH P.Án B.Thường'!$F9,'9. Thu, chi PABT'!$K$11:$K$20001,'4.1 TH P.Án B.Thường'!$G9,'9. Thu, chi PABT'!$L$11:$L$20001,'4.1 TH P.Án B.Thường'!$H9,'9. Thu, chi PABT'!$M$11:$M$20001,'4.1 TH P.Án B.Thường'!$I9,'9. Thu, chi PABT'!$B$11:$B$20001,'4.1 TH P.Án B.Thường'!$B9,'9. Thu, chi PABT'!$F$11:$F$20001,'4.1 TH P.Án B.Thường'!$D9,'9. Thu, chi PABT'!$F$11:$F$20001,"&lt;&gt;"&amp;"Tạm ứng",'9. Thu, chi PABT'!$H$11:$H$20001,"&lt;&gt;"&amp;"Tạm ứng"))-(SUMIFS('9. Thu, chi PABT'!$U$11:$U$20001,'9. Thu, chi PABT'!$J$11:$J$20001,'4.1 TH P.Án B.Thường'!$F9,'9. Thu, chi PABT'!$K$11:$K$20001,'4.1 TH P.Án B.Thường'!$G9,'9. Thu, chi PABT'!$L$11:$L$20001,'4.1 TH P.Án B.Thường'!$H9,'9. Thu, chi PABT'!$M$11:$M$20001,'4.1 TH P.Án B.Thường'!$I9,'9. Thu, chi PABT'!$B$11:$B$20001,'4.1 TH P.Án B.Thường'!$B9,'9. Thu, chi PABT'!$F$11:$F$20001,IF('4.1 TH P.Án B.Thường'!$D9=0,"",'4.1 TH P.Án B.Thường'!$D9))-SUMIFS('9. Thu, chi PABT'!$U$11:$U$20001,'9. Thu, chi PABT'!$J$11:$J$20001,'4.1 TH P.Án B.Thường'!$F9,'9. Thu, chi PABT'!$K$11:$K$20001,'4.1 TH P.Án B.Thường'!$G9,'9. Thu, chi PABT'!$L$11:$L$20001,'4.1 TH P.Án B.Thường'!$H9,'9. Thu, chi PABT'!$M$11:$M$20001,'4.1 TH P.Án B.Thường'!$I9,'9. Thu, chi PABT'!$B$11:$B$20001,'4.1 TH P.Án B.Thường'!$B9,'9. Thu, chi PABT'!$F$11:$F$20001,'4.1 TH P.Án B.Thường'!$D9))</f>
        <v>0</v>
      </c>
      <c r="N9" s="98">
        <f>SUMIFS('9. Thu, chi PABT'!$T$11:$T$20001,'9. Thu, chi PABT'!$J$11:$J$20001,'4.1 TH P.Án B.Thường'!$F9,'9. Thu, chi PABT'!$K$11:$K$20001,'4.1 TH P.Án B.Thường'!$G9,'9. Thu, chi PABT'!$L$11:$L$20001,'4.1 TH P.Án B.Thường'!$H9,'9. Thu, chi PABT'!$M$11:$M$20001,'4.1 TH P.Án B.Thường'!$I9,'9. Thu, chi PABT'!$B$11:$B$20001,'4.1 TH P.Án B.Thường'!$B9,'9. Thu, chi PABT'!$F$11:$F$20001,'4.1 TH P.Án B.Thường'!$D9,'9. Thu, chi PABT'!$F$11:$F$20001,"&lt;&gt;"&amp;"Tạm ứng",'9. Thu, chi PABT'!$H$11:$H$20001,"&lt;&gt;"&amp;"Tạm ứng")-SUMIFS('9. Thu, chi PABT'!$U$11:$U$20001,'9. Thu, chi PABT'!$J$11:$J$20001,'4.1 TH P.Án B.Thường'!$F9,'9. Thu, chi PABT'!$K$11:$K$20001,'4.1 TH P.Án B.Thường'!$G9,'9. Thu, chi PABT'!$L$11:$L$20001,'4.1 TH P.Án B.Thường'!$H9,'9. Thu, chi PABT'!$M$11:$M$20001,'4.1 TH P.Án B.Thường'!$I9,'9. Thu, chi PABT'!$B$11:$B$20001,'4.1 TH P.Án B.Thường'!$B9,'9. Thu, chi PABT'!$F$11:$F$20001,'4.1 TH P.Án B.Thường'!$D9)</f>
        <v>90000000</v>
      </c>
      <c r="O9" s="125">
        <f>M9+N9</f>
        <v>90000000</v>
      </c>
      <c r="P9" s="125">
        <f>J9-M9</f>
        <v>0</v>
      </c>
      <c r="Q9" s="125">
        <f>K9-N9</f>
        <v>0</v>
      </c>
      <c r="R9" s="125">
        <f>L9-O9</f>
        <v>0</v>
      </c>
    </row>
    <row r="10" spans="1:18" x14ac:dyDescent="0.25">
      <c r="A10" s="7">
        <v>2</v>
      </c>
      <c r="B10" s="8">
        <v>120</v>
      </c>
      <c r="C10" s="9">
        <v>45356</v>
      </c>
      <c r="D10" s="8">
        <v>0</v>
      </c>
      <c r="E10" s="9" t="str">
        <v/>
      </c>
      <c r="F10" s="8" t="str">
        <v>Nguyễn Đức Anh</v>
      </c>
      <c r="G10" s="8" t="str">
        <v>Tiên Cát</v>
      </c>
      <c r="H10" s="8" t="str">
        <v>Minh Hà</v>
      </c>
      <c r="I10" s="8" t="str">
        <v>123A</v>
      </c>
      <c r="J10" s="98">
        <f>SUMIFS('4. C.Tiết P.Án B.Thường'!$N$11:$N$20001,'4. C.Tiết P.Án B.Thường'!$J$11:$J$20001,'4.1 TH P.Án B.Thường'!$F10,'4. C.Tiết P.Án B.Thường'!$K$11:$K$20001,'4.1 TH P.Án B.Thường'!$G10,'4. C.Tiết P.Án B.Thường'!$L$11:$L$20001,'4.1 TH P.Án B.Thường'!$H10,'4. C.Tiết P.Án B.Thường'!$M$11:$M$20001,'4.1 TH P.Án B.Thường'!$I10,'4. C.Tiết P.Án B.Thường'!$B$11:$B$20001,'4.1 TH P.Án B.Thường'!$B10,'4. C.Tiết P.Án B.Thường'!$D$11:$D$20001,"&lt;&gt;"&amp;"tạm ứng",'4. C.Tiết P.Án B.Thường'!$F$11:$F$20001,IF('4.1 TH P.Án B.Thường'!$D10=0,"",'4.1 TH P.Án B.Thường'!$D10))</f>
        <v>1100000000</v>
      </c>
      <c r="K10" s="98">
        <f>SUMIFS('4. C.Tiết P.Án B.Thường'!$O$11:$O$20001,'4. C.Tiết P.Án B.Thường'!$J$11:$J$20001,'4.1 TH P.Án B.Thường'!$F10,'4. C.Tiết P.Án B.Thường'!$K$11:$K$20001,'4.1 TH P.Án B.Thường'!$G10,'4. C.Tiết P.Án B.Thường'!$L$11:$L$20001,'4.1 TH P.Án B.Thường'!$H10,'4. C.Tiết P.Án B.Thường'!$M$11:$M$20001,'4.1 TH P.Án B.Thường'!$I10,'4. C.Tiết P.Án B.Thường'!$B$11:$B$20001,'4.1 TH P.Án B.Thường'!$B10,'4. C.Tiết P.Án B.Thường'!$F$11:$F$20001,'4.1 TH P.Án B.Thường'!$D10,'4. C.Tiết P.Án B.Thường'!$F$11:$F$20001,"&lt;&gt;"&amp;"Tạm ứng",'4. C.Tiết P.Án B.Thường'!$H$11:$H$20001,"&lt;&gt;"&amp;"Tạm ứng")</f>
        <v>0</v>
      </c>
      <c r="L10" s="125">
        <f t="shared" ref="L10:L28" si="1">J10+K10</f>
        <v>1100000000</v>
      </c>
      <c r="M10" s="98">
        <f>(SUMIFS('9. Thu, chi PABT'!$T$11:$T$20001,'9. Thu, chi PABT'!$J$11:$J$20001,'4.1 TH P.Án B.Thường'!$F10,'9. Thu, chi PABT'!$K$11:$K$20001,'4.1 TH P.Án B.Thường'!$G10,'9. Thu, chi PABT'!$L$11:$L$20001,'4.1 TH P.Án B.Thường'!$H10,'9. Thu, chi PABT'!$M$11:$M$20001,'4.1 TH P.Án B.Thường'!$I10,'9. Thu, chi PABT'!$B$11:$B$20001,'4.1 TH P.Án B.Thường'!$B10,'9. Thu, chi PABT'!$D$11:$D$20001,"&lt;&gt;"&amp;"Tạm ứng",'9. Thu, chi PABT'!$F$11:$F$20001,IF('4.1 TH P.Án B.Thường'!$D10=0,"",'4.1 TH P.Án B.Thường'!$D10),'9. Thu, chi PABT'!$H$11:$H$20001,"&lt;&gt;"&amp;"Tạm ứng")-SUMIFS('9. Thu, chi PABT'!$T$11:$T$20001,'9. Thu, chi PABT'!$J$11:$J$20001,'4.1 TH P.Án B.Thường'!$F10,'9. Thu, chi PABT'!$K$11:$K$20001,'4.1 TH P.Án B.Thường'!$G10,'9. Thu, chi PABT'!$L$11:$L$20001,'4.1 TH P.Án B.Thường'!$H10,'9. Thu, chi PABT'!$M$11:$M$20001,'4.1 TH P.Án B.Thường'!$I10,'9. Thu, chi PABT'!$B$11:$B$20001,'4.1 TH P.Án B.Thường'!$B10,'9. Thu, chi PABT'!$F$11:$F$20001,'4.1 TH P.Án B.Thường'!$D10,'9. Thu, chi PABT'!$F$11:$F$20001,"&lt;&gt;"&amp;"Tạm ứng",'9. Thu, chi PABT'!$H$11:$H$20001,"&lt;&gt;"&amp;"Tạm ứng"))-(SUMIFS('9. Thu, chi PABT'!$U$11:$U$20001,'9. Thu, chi PABT'!$J$11:$J$20001,'4.1 TH P.Án B.Thường'!$F10,'9. Thu, chi PABT'!$K$11:$K$20001,'4.1 TH P.Án B.Thường'!$G10,'9. Thu, chi PABT'!$L$11:$L$20001,'4.1 TH P.Án B.Thường'!$H10,'9. Thu, chi PABT'!$M$11:$M$20001,'4.1 TH P.Án B.Thường'!$I10,'9. Thu, chi PABT'!$B$11:$B$20001,'4.1 TH P.Án B.Thường'!$B10,'9. Thu, chi PABT'!$F$11:$F$20001,IF('4.1 TH P.Án B.Thường'!$D10=0,"",'4.1 TH P.Án B.Thường'!$D10))-SUMIFS('9. Thu, chi PABT'!$U$11:$U$20001,'9. Thu, chi PABT'!$J$11:$J$20001,'4.1 TH P.Án B.Thường'!$F10,'9. Thu, chi PABT'!$K$11:$K$20001,'4.1 TH P.Án B.Thường'!$G10,'9. Thu, chi PABT'!$L$11:$L$20001,'4.1 TH P.Án B.Thường'!$H10,'9. Thu, chi PABT'!$M$11:$M$20001,'4.1 TH P.Án B.Thường'!$I10,'9. Thu, chi PABT'!$B$11:$B$20001,'4.1 TH P.Án B.Thường'!$B10,'9. Thu, chi PABT'!$F$11:$F$20001,'4.1 TH P.Án B.Thường'!$D10))</f>
        <v>900000000</v>
      </c>
      <c r="N10" s="98">
        <f>SUMIFS('9. Thu, chi PABT'!$T$11:$T$20001,'9. Thu, chi PABT'!$J$11:$J$20001,'4.1 TH P.Án B.Thường'!$F10,'9. Thu, chi PABT'!$K$11:$K$20001,'4.1 TH P.Án B.Thường'!$G10,'9. Thu, chi PABT'!$L$11:$L$20001,'4.1 TH P.Án B.Thường'!$H10,'9. Thu, chi PABT'!$M$11:$M$20001,'4.1 TH P.Án B.Thường'!$I10,'9. Thu, chi PABT'!$B$11:$B$20001,'4.1 TH P.Án B.Thường'!$B10,'9. Thu, chi PABT'!$F$11:$F$20001,'4.1 TH P.Án B.Thường'!$D10,'9. Thu, chi PABT'!$F$11:$F$20001,"&lt;&gt;"&amp;"Tạm ứng",'9. Thu, chi PABT'!$H$11:$H$20001,"&lt;&gt;"&amp;"Tạm ứng")-SUMIFS('9. Thu, chi PABT'!$U$11:$U$20001,'9. Thu, chi PABT'!$J$11:$J$20001,'4.1 TH P.Án B.Thường'!$F10,'9. Thu, chi PABT'!$K$11:$K$20001,'4.1 TH P.Án B.Thường'!$G10,'9. Thu, chi PABT'!$L$11:$L$20001,'4.1 TH P.Án B.Thường'!$H10,'9. Thu, chi PABT'!$M$11:$M$20001,'4.1 TH P.Án B.Thường'!$I10,'9. Thu, chi PABT'!$B$11:$B$20001,'4.1 TH P.Án B.Thường'!$B10,'9. Thu, chi PABT'!$F$11:$F$20001,'4.1 TH P.Án B.Thường'!$D10)</f>
        <v>0</v>
      </c>
      <c r="O10" s="125">
        <f t="shared" ref="O10:O28" si="2">M10+N10</f>
        <v>900000000</v>
      </c>
      <c r="P10" s="125">
        <f t="shared" ref="P10:P28" si="3">J10-M10</f>
        <v>200000000</v>
      </c>
      <c r="Q10" s="125">
        <f t="shared" ref="Q10:Q28" si="4">K10-N10</f>
        <v>0</v>
      </c>
      <c r="R10" s="125">
        <f t="shared" ref="R10:R28" si="5">L10-O10</f>
        <v>200000000</v>
      </c>
    </row>
    <row r="11" spans="1:18" x14ac:dyDescent="0.25">
      <c r="A11" s="7">
        <v>3</v>
      </c>
      <c r="B11" s="8">
        <v>130</v>
      </c>
      <c r="C11" s="9">
        <v>45387</v>
      </c>
      <c r="D11" s="8">
        <v>230</v>
      </c>
      <c r="E11" s="9">
        <v>45392</v>
      </c>
      <c r="F11" s="8" t="str">
        <v>Nguyễn Đức Anh</v>
      </c>
      <c r="G11" s="8" t="str">
        <v>Tiên Cát</v>
      </c>
      <c r="H11" s="8" t="str">
        <v>Minh Hà</v>
      </c>
      <c r="I11" s="8" t="str">
        <v>123A</v>
      </c>
      <c r="J11" s="98">
        <f>SUMIFS('4. C.Tiết P.Án B.Thường'!$N$11:$N$20001,'4. C.Tiết P.Án B.Thường'!$J$11:$J$20001,'4.1 TH P.Án B.Thường'!$F11,'4. C.Tiết P.Án B.Thường'!$K$11:$K$20001,'4.1 TH P.Án B.Thường'!$G11,'4. C.Tiết P.Án B.Thường'!$L$11:$L$20001,'4.1 TH P.Án B.Thường'!$H11,'4. C.Tiết P.Án B.Thường'!$M$11:$M$20001,'4.1 TH P.Án B.Thường'!$I11,'4. C.Tiết P.Án B.Thường'!$B$11:$B$20001,'4.1 TH P.Án B.Thường'!$B11,'4. C.Tiết P.Án B.Thường'!$D$11:$D$20001,"&lt;&gt;"&amp;"tạm ứng",'4. C.Tiết P.Án B.Thường'!$F$11:$F$20001,IF('4.1 TH P.Án B.Thường'!$D11=0,"",'4.1 TH P.Án B.Thường'!$D11))</f>
        <v>0</v>
      </c>
      <c r="K11" s="98">
        <f>SUMIFS('4. C.Tiết P.Án B.Thường'!$O$11:$O$20001,'4. C.Tiết P.Án B.Thường'!$J$11:$J$20001,'4.1 TH P.Án B.Thường'!$F11,'4. C.Tiết P.Án B.Thường'!$K$11:$K$20001,'4.1 TH P.Án B.Thường'!$G11,'4. C.Tiết P.Án B.Thường'!$L$11:$L$20001,'4.1 TH P.Án B.Thường'!$H11,'4. C.Tiết P.Án B.Thường'!$M$11:$M$20001,'4.1 TH P.Án B.Thường'!$I11,'4. C.Tiết P.Án B.Thường'!$B$11:$B$20001,'4.1 TH P.Án B.Thường'!$B11,'4. C.Tiết P.Án B.Thường'!$F$11:$F$20001,'4.1 TH P.Án B.Thường'!$D11,'4. C.Tiết P.Án B.Thường'!$F$11:$F$20001,"&lt;&gt;"&amp;"Tạm ứng",'4. C.Tiết P.Án B.Thường'!$H$11:$H$20001,"&lt;&gt;"&amp;"Tạm ứng")</f>
        <v>130000000</v>
      </c>
      <c r="L11" s="125">
        <f t="shared" si="1"/>
        <v>130000000</v>
      </c>
      <c r="M11" s="98">
        <f>(SUMIFS('9. Thu, chi PABT'!$T$11:$T$20001,'9. Thu, chi PABT'!$J$11:$J$20001,'4.1 TH P.Án B.Thường'!$F11,'9. Thu, chi PABT'!$K$11:$K$20001,'4.1 TH P.Án B.Thường'!$G11,'9. Thu, chi PABT'!$L$11:$L$20001,'4.1 TH P.Án B.Thường'!$H11,'9. Thu, chi PABT'!$M$11:$M$20001,'4.1 TH P.Án B.Thường'!$I11,'9. Thu, chi PABT'!$B$11:$B$20001,'4.1 TH P.Án B.Thường'!$B11,'9. Thu, chi PABT'!$D$11:$D$20001,"&lt;&gt;"&amp;"Tạm ứng",'9. Thu, chi PABT'!$F$11:$F$20001,IF('4.1 TH P.Án B.Thường'!$D11=0,"",'4.1 TH P.Án B.Thường'!$D11),'9. Thu, chi PABT'!$H$11:$H$20001,"&lt;&gt;"&amp;"Tạm ứng")-SUMIFS('9. Thu, chi PABT'!$T$11:$T$20001,'9. Thu, chi PABT'!$J$11:$J$20001,'4.1 TH P.Án B.Thường'!$F11,'9. Thu, chi PABT'!$K$11:$K$20001,'4.1 TH P.Án B.Thường'!$G11,'9. Thu, chi PABT'!$L$11:$L$20001,'4.1 TH P.Án B.Thường'!$H11,'9. Thu, chi PABT'!$M$11:$M$20001,'4.1 TH P.Án B.Thường'!$I11,'9. Thu, chi PABT'!$B$11:$B$20001,'4.1 TH P.Án B.Thường'!$B11,'9. Thu, chi PABT'!$F$11:$F$20001,'4.1 TH P.Án B.Thường'!$D11,'9. Thu, chi PABT'!$F$11:$F$20001,"&lt;&gt;"&amp;"Tạm ứng",'9. Thu, chi PABT'!$H$11:$H$20001,"&lt;&gt;"&amp;"Tạm ứng"))-(SUMIFS('9. Thu, chi PABT'!$U$11:$U$20001,'9. Thu, chi PABT'!$J$11:$J$20001,'4.1 TH P.Án B.Thường'!$F11,'9. Thu, chi PABT'!$K$11:$K$20001,'4.1 TH P.Án B.Thường'!$G11,'9. Thu, chi PABT'!$L$11:$L$20001,'4.1 TH P.Án B.Thường'!$H11,'9. Thu, chi PABT'!$M$11:$M$20001,'4.1 TH P.Án B.Thường'!$I11,'9. Thu, chi PABT'!$B$11:$B$20001,'4.1 TH P.Án B.Thường'!$B11,'9. Thu, chi PABT'!$F$11:$F$20001,IF('4.1 TH P.Án B.Thường'!$D11=0,"",'4.1 TH P.Án B.Thường'!$D11))-SUMIFS('9. Thu, chi PABT'!$U$11:$U$20001,'9. Thu, chi PABT'!$J$11:$J$20001,'4.1 TH P.Án B.Thường'!$F11,'9. Thu, chi PABT'!$K$11:$K$20001,'4.1 TH P.Án B.Thường'!$G11,'9. Thu, chi PABT'!$L$11:$L$20001,'4.1 TH P.Án B.Thường'!$H11,'9. Thu, chi PABT'!$M$11:$M$20001,'4.1 TH P.Án B.Thường'!$I11,'9. Thu, chi PABT'!$B$11:$B$20001,'4.1 TH P.Án B.Thường'!$B11,'9. Thu, chi PABT'!$F$11:$F$20001,'4.1 TH P.Án B.Thường'!$D11))</f>
        <v>0</v>
      </c>
      <c r="N11" s="98">
        <f>SUMIFS('9. Thu, chi PABT'!$T$11:$T$20001,'9. Thu, chi PABT'!$J$11:$J$20001,'4.1 TH P.Án B.Thường'!$F11,'9. Thu, chi PABT'!$K$11:$K$20001,'4.1 TH P.Án B.Thường'!$G11,'9. Thu, chi PABT'!$L$11:$L$20001,'4.1 TH P.Án B.Thường'!$H11,'9. Thu, chi PABT'!$M$11:$M$20001,'4.1 TH P.Án B.Thường'!$I11,'9. Thu, chi PABT'!$B$11:$B$20001,'4.1 TH P.Án B.Thường'!$B11,'9. Thu, chi PABT'!$F$11:$F$20001,'4.1 TH P.Án B.Thường'!$D11,'9. Thu, chi PABT'!$F$11:$F$20001,"&lt;&gt;"&amp;"Tạm ứng",'9. Thu, chi PABT'!$H$11:$H$20001,"&lt;&gt;"&amp;"Tạm ứng")-SUMIFS('9. Thu, chi PABT'!$U$11:$U$20001,'9. Thu, chi PABT'!$J$11:$J$20001,'4.1 TH P.Án B.Thường'!$F11,'9. Thu, chi PABT'!$K$11:$K$20001,'4.1 TH P.Án B.Thường'!$G11,'9. Thu, chi PABT'!$L$11:$L$20001,'4.1 TH P.Án B.Thường'!$H11,'9. Thu, chi PABT'!$M$11:$M$20001,'4.1 TH P.Án B.Thường'!$I11,'9. Thu, chi PABT'!$B$11:$B$20001,'4.1 TH P.Án B.Thường'!$B11,'9. Thu, chi PABT'!$F$11:$F$20001,'4.1 TH P.Án B.Thường'!$D11)</f>
        <v>130000000</v>
      </c>
      <c r="O11" s="125">
        <f t="shared" si="2"/>
        <v>130000000</v>
      </c>
      <c r="P11" s="125">
        <f t="shared" si="3"/>
        <v>0</v>
      </c>
      <c r="Q11" s="125">
        <f t="shared" si="4"/>
        <v>0</v>
      </c>
      <c r="R11" s="125">
        <f t="shared" si="5"/>
        <v>0</v>
      </c>
    </row>
    <row r="12" spans="1:18" x14ac:dyDescent="0.25">
      <c r="A12" s="7">
        <v>4</v>
      </c>
      <c r="B12" s="8">
        <v>130</v>
      </c>
      <c r="C12" s="9">
        <v>45387</v>
      </c>
      <c r="D12" s="8">
        <v>0</v>
      </c>
      <c r="E12" s="9" t="str">
        <v/>
      </c>
      <c r="F12" s="8" t="str">
        <v>Nguyễn Đức Anh</v>
      </c>
      <c r="G12" s="8" t="str">
        <v>Tiên Cát</v>
      </c>
      <c r="H12" s="8" t="str">
        <v>Minh Hà</v>
      </c>
      <c r="I12" s="8" t="str">
        <v>123A</v>
      </c>
      <c r="J12" s="98">
        <f>SUMIFS('4. C.Tiết P.Án B.Thường'!$N$11:$N$20001,'4. C.Tiết P.Án B.Thường'!$J$11:$J$20001,'4.1 TH P.Án B.Thường'!$F12,'4. C.Tiết P.Án B.Thường'!$K$11:$K$20001,'4.1 TH P.Án B.Thường'!$G12,'4. C.Tiết P.Án B.Thường'!$L$11:$L$20001,'4.1 TH P.Án B.Thường'!$H12,'4. C.Tiết P.Án B.Thường'!$M$11:$M$20001,'4.1 TH P.Án B.Thường'!$I12,'4. C.Tiết P.Án B.Thường'!$B$11:$B$20001,'4.1 TH P.Án B.Thường'!$B12,'4. C.Tiết P.Án B.Thường'!$D$11:$D$20001,"&lt;&gt;"&amp;"tạm ứng",'4. C.Tiết P.Án B.Thường'!$F$11:$F$20001,IF('4.1 TH P.Án B.Thường'!$D12=0,"",'4.1 TH P.Án B.Thường'!$D12))</f>
        <v>2100000000</v>
      </c>
      <c r="K12" s="98">
        <f>SUMIFS('4. C.Tiết P.Án B.Thường'!$O$11:$O$20001,'4. C.Tiết P.Án B.Thường'!$J$11:$J$20001,'4.1 TH P.Án B.Thường'!$F12,'4. C.Tiết P.Án B.Thường'!$K$11:$K$20001,'4.1 TH P.Án B.Thường'!$G12,'4. C.Tiết P.Án B.Thường'!$L$11:$L$20001,'4.1 TH P.Án B.Thường'!$H12,'4. C.Tiết P.Án B.Thường'!$M$11:$M$20001,'4.1 TH P.Án B.Thường'!$I12,'4. C.Tiết P.Án B.Thường'!$B$11:$B$20001,'4.1 TH P.Án B.Thường'!$B12,'4. C.Tiết P.Án B.Thường'!$F$11:$F$20001,'4.1 TH P.Án B.Thường'!$D12,'4. C.Tiết P.Án B.Thường'!$F$11:$F$20001,"&lt;&gt;"&amp;"Tạm ứng",'4. C.Tiết P.Án B.Thường'!$H$11:$H$20001,"&lt;&gt;"&amp;"Tạm ứng")</f>
        <v>0</v>
      </c>
      <c r="L12" s="125">
        <f t="shared" si="1"/>
        <v>2100000000</v>
      </c>
      <c r="M12" s="98">
        <f>(SUMIFS('9. Thu, chi PABT'!$T$11:$T$20001,'9. Thu, chi PABT'!$J$11:$J$20001,'4.1 TH P.Án B.Thường'!$F12,'9. Thu, chi PABT'!$K$11:$K$20001,'4.1 TH P.Án B.Thường'!$G12,'9. Thu, chi PABT'!$L$11:$L$20001,'4.1 TH P.Án B.Thường'!$H12,'9. Thu, chi PABT'!$M$11:$M$20001,'4.1 TH P.Án B.Thường'!$I12,'9. Thu, chi PABT'!$B$11:$B$20001,'4.1 TH P.Án B.Thường'!$B12,'9. Thu, chi PABT'!$D$11:$D$20001,"&lt;&gt;"&amp;"Tạm ứng",'9. Thu, chi PABT'!$F$11:$F$20001,IF('4.1 TH P.Án B.Thường'!$D12=0,"",'4.1 TH P.Án B.Thường'!$D12),'9. Thu, chi PABT'!$H$11:$H$20001,"&lt;&gt;"&amp;"Tạm ứng")-SUMIFS('9. Thu, chi PABT'!$T$11:$T$20001,'9. Thu, chi PABT'!$J$11:$J$20001,'4.1 TH P.Án B.Thường'!$F12,'9. Thu, chi PABT'!$K$11:$K$20001,'4.1 TH P.Án B.Thường'!$G12,'9. Thu, chi PABT'!$L$11:$L$20001,'4.1 TH P.Án B.Thường'!$H12,'9. Thu, chi PABT'!$M$11:$M$20001,'4.1 TH P.Án B.Thường'!$I12,'9. Thu, chi PABT'!$B$11:$B$20001,'4.1 TH P.Án B.Thường'!$B12,'9. Thu, chi PABT'!$F$11:$F$20001,'4.1 TH P.Án B.Thường'!$D12,'9. Thu, chi PABT'!$F$11:$F$20001,"&lt;&gt;"&amp;"Tạm ứng",'9. Thu, chi PABT'!$H$11:$H$20001,"&lt;&gt;"&amp;"Tạm ứng"))-(SUMIFS('9. Thu, chi PABT'!$U$11:$U$20001,'9. Thu, chi PABT'!$J$11:$J$20001,'4.1 TH P.Án B.Thường'!$F12,'9. Thu, chi PABT'!$K$11:$K$20001,'4.1 TH P.Án B.Thường'!$G12,'9. Thu, chi PABT'!$L$11:$L$20001,'4.1 TH P.Án B.Thường'!$H12,'9. Thu, chi PABT'!$M$11:$M$20001,'4.1 TH P.Án B.Thường'!$I12,'9. Thu, chi PABT'!$B$11:$B$20001,'4.1 TH P.Án B.Thường'!$B12,'9. Thu, chi PABT'!$F$11:$F$20001,IF('4.1 TH P.Án B.Thường'!$D12=0,"",'4.1 TH P.Án B.Thường'!$D12))-SUMIFS('9. Thu, chi PABT'!$U$11:$U$20001,'9. Thu, chi PABT'!$J$11:$J$20001,'4.1 TH P.Án B.Thường'!$F12,'9. Thu, chi PABT'!$K$11:$K$20001,'4.1 TH P.Án B.Thường'!$G12,'9. Thu, chi PABT'!$L$11:$L$20001,'4.1 TH P.Án B.Thường'!$H12,'9. Thu, chi PABT'!$M$11:$M$20001,'4.1 TH P.Án B.Thường'!$I12,'9. Thu, chi PABT'!$B$11:$B$20001,'4.1 TH P.Án B.Thường'!$B12,'9. Thu, chi PABT'!$F$11:$F$20001,'4.1 TH P.Án B.Thường'!$D12))</f>
        <v>2100000000</v>
      </c>
      <c r="N12" s="98">
        <f>SUMIFS('9. Thu, chi PABT'!$T$11:$T$20001,'9. Thu, chi PABT'!$J$11:$J$20001,'4.1 TH P.Án B.Thường'!$F12,'9. Thu, chi PABT'!$K$11:$K$20001,'4.1 TH P.Án B.Thường'!$G12,'9. Thu, chi PABT'!$L$11:$L$20001,'4.1 TH P.Án B.Thường'!$H12,'9. Thu, chi PABT'!$M$11:$M$20001,'4.1 TH P.Án B.Thường'!$I12,'9. Thu, chi PABT'!$B$11:$B$20001,'4.1 TH P.Án B.Thường'!$B12,'9. Thu, chi PABT'!$F$11:$F$20001,'4.1 TH P.Án B.Thường'!$D12,'9. Thu, chi PABT'!$F$11:$F$20001,"&lt;&gt;"&amp;"Tạm ứng",'9. Thu, chi PABT'!$H$11:$H$20001,"&lt;&gt;"&amp;"Tạm ứng")-SUMIFS('9. Thu, chi PABT'!$U$11:$U$20001,'9. Thu, chi PABT'!$J$11:$J$20001,'4.1 TH P.Án B.Thường'!$F12,'9. Thu, chi PABT'!$K$11:$K$20001,'4.1 TH P.Án B.Thường'!$G12,'9. Thu, chi PABT'!$L$11:$L$20001,'4.1 TH P.Án B.Thường'!$H12,'9. Thu, chi PABT'!$M$11:$M$20001,'4.1 TH P.Án B.Thường'!$I12,'9. Thu, chi PABT'!$B$11:$B$20001,'4.1 TH P.Án B.Thường'!$B12,'9. Thu, chi PABT'!$F$11:$F$20001,'4.1 TH P.Án B.Thường'!$D12)</f>
        <v>0</v>
      </c>
      <c r="O12" s="125">
        <f t="shared" si="2"/>
        <v>2100000000</v>
      </c>
      <c r="P12" s="125">
        <f t="shared" si="3"/>
        <v>0</v>
      </c>
      <c r="Q12" s="125">
        <f t="shared" si="4"/>
        <v>0</v>
      </c>
      <c r="R12" s="125">
        <f t="shared" si="5"/>
        <v>0</v>
      </c>
    </row>
    <row r="13" spans="1:18" x14ac:dyDescent="0.25">
      <c r="A13" s="7">
        <v>5</v>
      </c>
      <c r="B13" s="8">
        <v>140</v>
      </c>
      <c r="C13" s="9">
        <v>45417</v>
      </c>
      <c r="D13" s="8">
        <v>240</v>
      </c>
      <c r="E13" s="9">
        <v>45422</v>
      </c>
      <c r="F13" s="8" t="str">
        <v>Nguyễn Đức Anh</v>
      </c>
      <c r="G13" s="8" t="str">
        <v>Tiên Cát</v>
      </c>
      <c r="H13" s="8" t="str">
        <v>Minh Hà</v>
      </c>
      <c r="I13" s="8" t="str">
        <v>123A</v>
      </c>
      <c r="J13" s="98">
        <f>SUMIFS('4. C.Tiết P.Án B.Thường'!$N$11:$N$20001,'4. C.Tiết P.Án B.Thường'!$J$11:$J$20001,'4.1 TH P.Án B.Thường'!$F13,'4. C.Tiết P.Án B.Thường'!$K$11:$K$20001,'4.1 TH P.Án B.Thường'!$G13,'4. C.Tiết P.Án B.Thường'!$L$11:$L$20001,'4.1 TH P.Án B.Thường'!$H13,'4. C.Tiết P.Án B.Thường'!$M$11:$M$20001,'4.1 TH P.Án B.Thường'!$I13,'4. C.Tiết P.Án B.Thường'!$B$11:$B$20001,'4.1 TH P.Án B.Thường'!$B13,'4. C.Tiết P.Án B.Thường'!$D$11:$D$20001,"&lt;&gt;"&amp;"tạm ứng",'4. C.Tiết P.Án B.Thường'!$F$11:$F$20001,IF('4.1 TH P.Án B.Thường'!$D13=0,"",'4.1 TH P.Án B.Thường'!$D13))</f>
        <v>0</v>
      </c>
      <c r="K13" s="98">
        <f>SUMIFS('4. C.Tiết P.Án B.Thường'!$O$11:$O$20001,'4. C.Tiết P.Án B.Thường'!$J$11:$J$20001,'4.1 TH P.Án B.Thường'!$F13,'4. C.Tiết P.Án B.Thường'!$K$11:$K$20001,'4.1 TH P.Án B.Thường'!$G13,'4. C.Tiết P.Án B.Thường'!$L$11:$L$20001,'4.1 TH P.Án B.Thường'!$H13,'4. C.Tiết P.Án B.Thường'!$M$11:$M$20001,'4.1 TH P.Án B.Thường'!$I13,'4. C.Tiết P.Án B.Thường'!$B$11:$B$20001,'4.1 TH P.Án B.Thường'!$B13,'4. C.Tiết P.Án B.Thường'!$F$11:$F$20001,'4.1 TH P.Án B.Thường'!$D13,'4. C.Tiết P.Án B.Thường'!$F$11:$F$20001,"&lt;&gt;"&amp;"Tạm ứng",'4. C.Tiết P.Án B.Thường'!$H$11:$H$20001,"&lt;&gt;"&amp;"Tạm ứng")</f>
        <v>90000000</v>
      </c>
      <c r="L13" s="125">
        <f t="shared" si="1"/>
        <v>90000000</v>
      </c>
      <c r="M13" s="98">
        <f>(SUMIFS('9. Thu, chi PABT'!$T$11:$T$20001,'9. Thu, chi PABT'!$J$11:$J$20001,'4.1 TH P.Án B.Thường'!$F13,'9. Thu, chi PABT'!$K$11:$K$20001,'4.1 TH P.Án B.Thường'!$G13,'9. Thu, chi PABT'!$L$11:$L$20001,'4.1 TH P.Án B.Thường'!$H13,'9. Thu, chi PABT'!$M$11:$M$20001,'4.1 TH P.Án B.Thường'!$I13,'9. Thu, chi PABT'!$B$11:$B$20001,'4.1 TH P.Án B.Thường'!$B13,'9. Thu, chi PABT'!$D$11:$D$20001,"&lt;&gt;"&amp;"Tạm ứng",'9. Thu, chi PABT'!$F$11:$F$20001,IF('4.1 TH P.Án B.Thường'!$D13=0,"",'4.1 TH P.Án B.Thường'!$D13),'9. Thu, chi PABT'!$H$11:$H$20001,"&lt;&gt;"&amp;"Tạm ứng")-SUMIFS('9. Thu, chi PABT'!$T$11:$T$20001,'9. Thu, chi PABT'!$J$11:$J$20001,'4.1 TH P.Án B.Thường'!$F13,'9. Thu, chi PABT'!$K$11:$K$20001,'4.1 TH P.Án B.Thường'!$G13,'9. Thu, chi PABT'!$L$11:$L$20001,'4.1 TH P.Án B.Thường'!$H13,'9. Thu, chi PABT'!$M$11:$M$20001,'4.1 TH P.Án B.Thường'!$I13,'9. Thu, chi PABT'!$B$11:$B$20001,'4.1 TH P.Án B.Thường'!$B13,'9. Thu, chi PABT'!$F$11:$F$20001,'4.1 TH P.Án B.Thường'!$D13,'9. Thu, chi PABT'!$F$11:$F$20001,"&lt;&gt;"&amp;"Tạm ứng",'9. Thu, chi PABT'!$H$11:$H$20001,"&lt;&gt;"&amp;"Tạm ứng"))-(SUMIFS('9. Thu, chi PABT'!$U$11:$U$20001,'9. Thu, chi PABT'!$J$11:$J$20001,'4.1 TH P.Án B.Thường'!$F13,'9. Thu, chi PABT'!$K$11:$K$20001,'4.1 TH P.Án B.Thường'!$G13,'9. Thu, chi PABT'!$L$11:$L$20001,'4.1 TH P.Án B.Thường'!$H13,'9. Thu, chi PABT'!$M$11:$M$20001,'4.1 TH P.Án B.Thường'!$I13,'9. Thu, chi PABT'!$B$11:$B$20001,'4.1 TH P.Án B.Thường'!$B13,'9. Thu, chi PABT'!$F$11:$F$20001,IF('4.1 TH P.Án B.Thường'!$D13=0,"",'4.1 TH P.Án B.Thường'!$D13))-SUMIFS('9. Thu, chi PABT'!$U$11:$U$20001,'9. Thu, chi PABT'!$J$11:$J$20001,'4.1 TH P.Án B.Thường'!$F13,'9. Thu, chi PABT'!$K$11:$K$20001,'4.1 TH P.Án B.Thường'!$G13,'9. Thu, chi PABT'!$L$11:$L$20001,'4.1 TH P.Án B.Thường'!$H13,'9. Thu, chi PABT'!$M$11:$M$20001,'4.1 TH P.Án B.Thường'!$I13,'9. Thu, chi PABT'!$B$11:$B$20001,'4.1 TH P.Án B.Thường'!$B13,'9. Thu, chi PABT'!$F$11:$F$20001,'4.1 TH P.Án B.Thường'!$D13))</f>
        <v>0</v>
      </c>
      <c r="N13" s="98">
        <f>SUMIFS('9. Thu, chi PABT'!$T$11:$T$20001,'9. Thu, chi PABT'!$J$11:$J$20001,'4.1 TH P.Án B.Thường'!$F13,'9. Thu, chi PABT'!$K$11:$K$20001,'4.1 TH P.Án B.Thường'!$G13,'9. Thu, chi PABT'!$L$11:$L$20001,'4.1 TH P.Án B.Thường'!$H13,'9. Thu, chi PABT'!$M$11:$M$20001,'4.1 TH P.Án B.Thường'!$I13,'9. Thu, chi PABT'!$B$11:$B$20001,'4.1 TH P.Án B.Thường'!$B13,'9. Thu, chi PABT'!$F$11:$F$20001,'4.1 TH P.Án B.Thường'!$D13,'9. Thu, chi PABT'!$F$11:$F$20001,"&lt;&gt;"&amp;"Tạm ứng",'9. Thu, chi PABT'!$H$11:$H$20001,"&lt;&gt;"&amp;"Tạm ứng")-SUMIFS('9. Thu, chi PABT'!$U$11:$U$20001,'9. Thu, chi PABT'!$J$11:$J$20001,'4.1 TH P.Án B.Thường'!$F13,'9. Thu, chi PABT'!$K$11:$K$20001,'4.1 TH P.Án B.Thường'!$G13,'9. Thu, chi PABT'!$L$11:$L$20001,'4.1 TH P.Án B.Thường'!$H13,'9. Thu, chi PABT'!$M$11:$M$20001,'4.1 TH P.Án B.Thường'!$I13,'9. Thu, chi PABT'!$B$11:$B$20001,'4.1 TH P.Án B.Thường'!$B13,'9. Thu, chi PABT'!$F$11:$F$20001,'4.1 TH P.Án B.Thường'!$D13)</f>
        <v>90000000</v>
      </c>
      <c r="O13" s="125">
        <f t="shared" si="2"/>
        <v>90000000</v>
      </c>
      <c r="P13" s="125">
        <f t="shared" si="3"/>
        <v>0</v>
      </c>
      <c r="Q13" s="125">
        <f t="shared" si="4"/>
        <v>0</v>
      </c>
      <c r="R13" s="125">
        <f t="shared" si="5"/>
        <v>0</v>
      </c>
    </row>
    <row r="14" spans="1:18" x14ac:dyDescent="0.25">
      <c r="A14" s="7">
        <v>6</v>
      </c>
      <c r="B14" s="8">
        <v>140</v>
      </c>
      <c r="C14" s="9">
        <v>45417</v>
      </c>
      <c r="D14" s="8">
        <v>0</v>
      </c>
      <c r="E14" s="9" t="str">
        <v/>
      </c>
      <c r="F14" s="8" t="str">
        <v>Nguyễn Đức Anh</v>
      </c>
      <c r="G14" s="8" t="str">
        <v>Tiên Cát</v>
      </c>
      <c r="H14" s="8" t="str">
        <v>Minh Hà</v>
      </c>
      <c r="I14" s="8" t="str">
        <v>123A</v>
      </c>
      <c r="J14" s="98">
        <f>SUMIFS('4. C.Tiết P.Án B.Thường'!$N$11:$N$20001,'4. C.Tiết P.Án B.Thường'!$J$11:$J$20001,'4.1 TH P.Án B.Thường'!$F14,'4. C.Tiết P.Án B.Thường'!$K$11:$K$20001,'4.1 TH P.Án B.Thường'!$G14,'4. C.Tiết P.Án B.Thường'!$L$11:$L$20001,'4.1 TH P.Án B.Thường'!$H14,'4. C.Tiết P.Án B.Thường'!$M$11:$M$20001,'4.1 TH P.Án B.Thường'!$I14,'4. C.Tiết P.Án B.Thường'!$B$11:$B$20001,'4.1 TH P.Án B.Thường'!$B14,'4. C.Tiết P.Án B.Thường'!$D$11:$D$20001,"&lt;&gt;"&amp;"tạm ứng",'4. C.Tiết P.Án B.Thường'!$F$11:$F$20001,IF('4.1 TH P.Án B.Thường'!$D14=0,"",'4.1 TH P.Án B.Thường'!$D14))</f>
        <v>900000000</v>
      </c>
      <c r="K14" s="98">
        <f>SUMIFS('4. C.Tiết P.Án B.Thường'!$O$11:$O$20001,'4. C.Tiết P.Án B.Thường'!$J$11:$J$20001,'4.1 TH P.Án B.Thường'!$F14,'4. C.Tiết P.Án B.Thường'!$K$11:$K$20001,'4.1 TH P.Án B.Thường'!$G14,'4. C.Tiết P.Án B.Thường'!$L$11:$L$20001,'4.1 TH P.Án B.Thường'!$H14,'4. C.Tiết P.Án B.Thường'!$M$11:$M$20001,'4.1 TH P.Án B.Thường'!$I14,'4. C.Tiết P.Án B.Thường'!$B$11:$B$20001,'4.1 TH P.Án B.Thường'!$B14,'4. C.Tiết P.Án B.Thường'!$F$11:$F$20001,'4.1 TH P.Án B.Thường'!$D14,'4. C.Tiết P.Án B.Thường'!$F$11:$F$20001,"&lt;&gt;"&amp;"Tạm ứng",'4. C.Tiết P.Án B.Thường'!$H$11:$H$20001,"&lt;&gt;"&amp;"Tạm ứng")</f>
        <v>0</v>
      </c>
      <c r="L14" s="125">
        <f t="shared" si="1"/>
        <v>900000000</v>
      </c>
      <c r="M14" s="98">
        <f>(SUMIFS('9. Thu, chi PABT'!$T$11:$T$20001,'9. Thu, chi PABT'!$J$11:$J$20001,'4.1 TH P.Án B.Thường'!$F14,'9. Thu, chi PABT'!$K$11:$K$20001,'4.1 TH P.Án B.Thường'!$G14,'9. Thu, chi PABT'!$L$11:$L$20001,'4.1 TH P.Án B.Thường'!$H14,'9. Thu, chi PABT'!$M$11:$M$20001,'4.1 TH P.Án B.Thường'!$I14,'9. Thu, chi PABT'!$B$11:$B$20001,'4.1 TH P.Án B.Thường'!$B14,'9. Thu, chi PABT'!$D$11:$D$20001,"&lt;&gt;"&amp;"Tạm ứng",'9. Thu, chi PABT'!$F$11:$F$20001,IF('4.1 TH P.Án B.Thường'!$D14=0,"",'4.1 TH P.Án B.Thường'!$D14),'9. Thu, chi PABT'!$H$11:$H$20001,"&lt;&gt;"&amp;"Tạm ứng")-SUMIFS('9. Thu, chi PABT'!$T$11:$T$20001,'9. Thu, chi PABT'!$J$11:$J$20001,'4.1 TH P.Án B.Thường'!$F14,'9. Thu, chi PABT'!$K$11:$K$20001,'4.1 TH P.Án B.Thường'!$G14,'9. Thu, chi PABT'!$L$11:$L$20001,'4.1 TH P.Án B.Thường'!$H14,'9. Thu, chi PABT'!$M$11:$M$20001,'4.1 TH P.Án B.Thường'!$I14,'9. Thu, chi PABT'!$B$11:$B$20001,'4.1 TH P.Án B.Thường'!$B14,'9. Thu, chi PABT'!$F$11:$F$20001,'4.1 TH P.Án B.Thường'!$D14,'9. Thu, chi PABT'!$F$11:$F$20001,"&lt;&gt;"&amp;"Tạm ứng",'9. Thu, chi PABT'!$H$11:$H$20001,"&lt;&gt;"&amp;"Tạm ứng"))-(SUMIFS('9. Thu, chi PABT'!$U$11:$U$20001,'9. Thu, chi PABT'!$J$11:$J$20001,'4.1 TH P.Án B.Thường'!$F14,'9. Thu, chi PABT'!$K$11:$K$20001,'4.1 TH P.Án B.Thường'!$G14,'9. Thu, chi PABT'!$L$11:$L$20001,'4.1 TH P.Án B.Thường'!$H14,'9. Thu, chi PABT'!$M$11:$M$20001,'4.1 TH P.Án B.Thường'!$I14,'9. Thu, chi PABT'!$B$11:$B$20001,'4.1 TH P.Án B.Thường'!$B14,'9. Thu, chi PABT'!$F$11:$F$20001,IF('4.1 TH P.Án B.Thường'!$D14=0,"",'4.1 TH P.Án B.Thường'!$D14))-SUMIFS('9. Thu, chi PABT'!$U$11:$U$20001,'9. Thu, chi PABT'!$J$11:$J$20001,'4.1 TH P.Án B.Thường'!$F14,'9. Thu, chi PABT'!$K$11:$K$20001,'4.1 TH P.Án B.Thường'!$G14,'9. Thu, chi PABT'!$L$11:$L$20001,'4.1 TH P.Án B.Thường'!$H14,'9. Thu, chi PABT'!$M$11:$M$20001,'4.1 TH P.Án B.Thường'!$I14,'9. Thu, chi PABT'!$B$11:$B$20001,'4.1 TH P.Án B.Thường'!$B14,'9. Thu, chi PABT'!$F$11:$F$20001,'4.1 TH P.Án B.Thường'!$D14))</f>
        <v>900000000</v>
      </c>
      <c r="N14" s="98">
        <f>SUMIFS('9. Thu, chi PABT'!$T$11:$T$20001,'9. Thu, chi PABT'!$J$11:$J$20001,'4.1 TH P.Án B.Thường'!$F14,'9. Thu, chi PABT'!$K$11:$K$20001,'4.1 TH P.Án B.Thường'!$G14,'9. Thu, chi PABT'!$L$11:$L$20001,'4.1 TH P.Án B.Thường'!$H14,'9. Thu, chi PABT'!$M$11:$M$20001,'4.1 TH P.Án B.Thường'!$I14,'9. Thu, chi PABT'!$B$11:$B$20001,'4.1 TH P.Án B.Thường'!$B14,'9. Thu, chi PABT'!$F$11:$F$20001,'4.1 TH P.Án B.Thường'!$D14,'9. Thu, chi PABT'!$F$11:$F$20001,"&lt;&gt;"&amp;"Tạm ứng",'9. Thu, chi PABT'!$H$11:$H$20001,"&lt;&gt;"&amp;"Tạm ứng")-SUMIFS('9. Thu, chi PABT'!$U$11:$U$20001,'9. Thu, chi PABT'!$J$11:$J$20001,'4.1 TH P.Án B.Thường'!$F14,'9. Thu, chi PABT'!$K$11:$K$20001,'4.1 TH P.Án B.Thường'!$G14,'9. Thu, chi PABT'!$L$11:$L$20001,'4.1 TH P.Án B.Thường'!$H14,'9. Thu, chi PABT'!$M$11:$M$20001,'4.1 TH P.Án B.Thường'!$I14,'9. Thu, chi PABT'!$B$11:$B$20001,'4.1 TH P.Án B.Thường'!$B14,'9. Thu, chi PABT'!$F$11:$F$20001,'4.1 TH P.Án B.Thường'!$D14)</f>
        <v>0</v>
      </c>
      <c r="O14" s="125">
        <f t="shared" si="2"/>
        <v>900000000</v>
      </c>
      <c r="P14" s="125">
        <f t="shared" si="3"/>
        <v>0</v>
      </c>
      <c r="Q14" s="125">
        <f t="shared" si="4"/>
        <v>0</v>
      </c>
      <c r="R14" s="125">
        <f t="shared" si="5"/>
        <v>0</v>
      </c>
    </row>
    <row r="15" spans="1:18" x14ac:dyDescent="0.25">
      <c r="A15" s="7">
        <v>7</v>
      </c>
      <c r="B15" s="8">
        <v>0</v>
      </c>
      <c r="C15" s="9" t="str">
        <v/>
      </c>
      <c r="D15" s="8">
        <v>0</v>
      </c>
      <c r="E15" s="9" t="str">
        <v/>
      </c>
      <c r="F15" s="8">
        <v>0</v>
      </c>
      <c r="G15" s="8">
        <v>0</v>
      </c>
      <c r="H15" s="8">
        <v>0</v>
      </c>
      <c r="I15" s="8">
        <v>0</v>
      </c>
      <c r="J15" s="98">
        <f>SUMIFS('4. C.Tiết P.Án B.Thường'!$N$11:$N$20001,'4. C.Tiết P.Án B.Thường'!$J$11:$J$20001,'4.1 TH P.Án B.Thường'!$F15,'4. C.Tiết P.Án B.Thường'!$K$11:$K$20001,'4.1 TH P.Án B.Thường'!$G15,'4. C.Tiết P.Án B.Thường'!$L$11:$L$20001,'4.1 TH P.Án B.Thường'!$H15,'4. C.Tiết P.Án B.Thường'!$M$11:$M$20001,'4.1 TH P.Án B.Thường'!$I15,'4. C.Tiết P.Án B.Thường'!$B$11:$B$20001,'4.1 TH P.Án B.Thường'!$B15,'4. C.Tiết P.Án B.Thường'!$D$11:$D$20001,"&lt;&gt;"&amp;"tạm ứng",'4. C.Tiết P.Án B.Thường'!$F$11:$F$20001,IF('4.1 TH P.Án B.Thường'!$D15=0,"",'4.1 TH P.Án B.Thường'!$D15))</f>
        <v>0</v>
      </c>
      <c r="K15" s="98">
        <f>SUMIFS('4. C.Tiết P.Án B.Thường'!$O$11:$O$20001,'4. C.Tiết P.Án B.Thường'!$J$11:$J$20001,'4.1 TH P.Án B.Thường'!$F15,'4. C.Tiết P.Án B.Thường'!$K$11:$K$20001,'4.1 TH P.Án B.Thường'!$G15,'4. C.Tiết P.Án B.Thường'!$L$11:$L$20001,'4.1 TH P.Án B.Thường'!$H15,'4. C.Tiết P.Án B.Thường'!$M$11:$M$20001,'4.1 TH P.Án B.Thường'!$I15,'4. C.Tiết P.Án B.Thường'!$B$11:$B$20001,'4.1 TH P.Án B.Thường'!$B15,'4. C.Tiết P.Án B.Thường'!$F$11:$F$20001,'4.1 TH P.Án B.Thường'!$D15,'4. C.Tiết P.Án B.Thường'!$F$11:$F$20001,"&lt;&gt;"&amp;"Tạm ứng",'4. C.Tiết P.Án B.Thường'!$H$11:$H$20001,"&lt;&gt;"&amp;"Tạm ứng")</f>
        <v>0</v>
      </c>
      <c r="L15" s="125">
        <f t="shared" si="1"/>
        <v>0</v>
      </c>
      <c r="M15" s="98">
        <f>(SUMIFS('9. Thu, chi PABT'!$T$11:$T$20001,'9. Thu, chi PABT'!$J$11:$J$20001,'4.1 TH P.Án B.Thường'!$F15,'9. Thu, chi PABT'!$K$11:$K$20001,'4.1 TH P.Án B.Thường'!$G15,'9. Thu, chi PABT'!$L$11:$L$20001,'4.1 TH P.Án B.Thường'!$H15,'9. Thu, chi PABT'!$M$11:$M$20001,'4.1 TH P.Án B.Thường'!$I15,'9. Thu, chi PABT'!$B$11:$B$20001,'4.1 TH P.Án B.Thường'!$B15,'9. Thu, chi PABT'!$D$11:$D$20001,"&lt;&gt;"&amp;"Tạm ứng",'9. Thu, chi PABT'!$F$11:$F$20001,IF('4.1 TH P.Án B.Thường'!$D15=0,"",'4.1 TH P.Án B.Thường'!$D15),'9. Thu, chi PABT'!$H$11:$H$20001,"&lt;&gt;"&amp;"Tạm ứng")-SUMIFS('9. Thu, chi PABT'!$T$11:$T$20001,'9. Thu, chi PABT'!$J$11:$J$20001,'4.1 TH P.Án B.Thường'!$F15,'9. Thu, chi PABT'!$K$11:$K$20001,'4.1 TH P.Án B.Thường'!$G15,'9. Thu, chi PABT'!$L$11:$L$20001,'4.1 TH P.Án B.Thường'!$H15,'9. Thu, chi PABT'!$M$11:$M$20001,'4.1 TH P.Án B.Thường'!$I15,'9. Thu, chi PABT'!$B$11:$B$20001,'4.1 TH P.Án B.Thường'!$B15,'9. Thu, chi PABT'!$F$11:$F$20001,'4.1 TH P.Án B.Thường'!$D15,'9. Thu, chi PABT'!$F$11:$F$20001,"&lt;&gt;"&amp;"Tạm ứng",'9. Thu, chi PABT'!$H$11:$H$20001,"&lt;&gt;"&amp;"Tạm ứng"))-(SUMIFS('9. Thu, chi PABT'!$U$11:$U$20001,'9. Thu, chi PABT'!$J$11:$J$20001,'4.1 TH P.Án B.Thường'!$F15,'9. Thu, chi PABT'!$K$11:$K$20001,'4.1 TH P.Án B.Thường'!$G15,'9. Thu, chi PABT'!$L$11:$L$20001,'4.1 TH P.Án B.Thường'!$H15,'9. Thu, chi PABT'!$M$11:$M$20001,'4.1 TH P.Án B.Thường'!$I15,'9. Thu, chi PABT'!$B$11:$B$20001,'4.1 TH P.Án B.Thường'!$B15,'9. Thu, chi PABT'!$F$11:$F$20001,IF('4.1 TH P.Án B.Thường'!$D15=0,"",'4.1 TH P.Án B.Thường'!$D15))-SUMIFS('9. Thu, chi PABT'!$U$11:$U$20001,'9. Thu, chi PABT'!$J$11:$J$20001,'4.1 TH P.Án B.Thường'!$F15,'9. Thu, chi PABT'!$K$11:$K$20001,'4.1 TH P.Án B.Thường'!$G15,'9. Thu, chi PABT'!$L$11:$L$20001,'4.1 TH P.Án B.Thường'!$H15,'9. Thu, chi PABT'!$M$11:$M$20001,'4.1 TH P.Án B.Thường'!$I15,'9. Thu, chi PABT'!$B$11:$B$20001,'4.1 TH P.Án B.Thường'!$B15,'9. Thu, chi PABT'!$F$11:$F$20001,'4.1 TH P.Án B.Thường'!$D15))</f>
        <v>0</v>
      </c>
      <c r="N15" s="98">
        <f>SUMIFS('9. Thu, chi PABT'!$T$11:$T$20001,'9. Thu, chi PABT'!$J$11:$J$20001,'4.1 TH P.Án B.Thường'!$F15,'9. Thu, chi PABT'!$K$11:$K$20001,'4.1 TH P.Án B.Thường'!$G15,'9. Thu, chi PABT'!$L$11:$L$20001,'4.1 TH P.Án B.Thường'!$H15,'9. Thu, chi PABT'!$M$11:$M$20001,'4.1 TH P.Án B.Thường'!$I15,'9. Thu, chi PABT'!$B$11:$B$20001,'4.1 TH P.Án B.Thường'!$B15,'9. Thu, chi PABT'!$F$11:$F$20001,'4.1 TH P.Án B.Thường'!$D15,'9. Thu, chi PABT'!$F$11:$F$20001,"&lt;&gt;"&amp;"Tạm ứng",'9. Thu, chi PABT'!$H$11:$H$20001,"&lt;&gt;"&amp;"Tạm ứng")-SUMIFS('9. Thu, chi PABT'!$U$11:$U$20001,'9. Thu, chi PABT'!$J$11:$J$20001,'4.1 TH P.Án B.Thường'!$F15,'9. Thu, chi PABT'!$K$11:$K$20001,'4.1 TH P.Án B.Thường'!$G15,'9. Thu, chi PABT'!$L$11:$L$20001,'4.1 TH P.Án B.Thường'!$H15,'9. Thu, chi PABT'!$M$11:$M$20001,'4.1 TH P.Án B.Thường'!$I15,'9. Thu, chi PABT'!$B$11:$B$20001,'4.1 TH P.Án B.Thường'!$B15,'9. Thu, chi PABT'!$F$11:$F$20001,'4.1 TH P.Án B.Thường'!$D15)</f>
        <v>0</v>
      </c>
      <c r="O15" s="125">
        <f t="shared" si="2"/>
        <v>0</v>
      </c>
      <c r="P15" s="125">
        <f t="shared" si="3"/>
        <v>0</v>
      </c>
      <c r="Q15" s="125">
        <f t="shared" si="4"/>
        <v>0</v>
      </c>
      <c r="R15" s="125">
        <f t="shared" si="5"/>
        <v>0</v>
      </c>
    </row>
    <row r="16" spans="1:18" x14ac:dyDescent="0.25">
      <c r="A16" s="7">
        <v>8</v>
      </c>
      <c r="B16" s="8">
        <v>0</v>
      </c>
      <c r="C16" s="9">
        <v>0</v>
      </c>
      <c r="D16" s="8">
        <v>0</v>
      </c>
      <c r="E16" s="9">
        <v>0</v>
      </c>
      <c r="F16" s="8">
        <v>0</v>
      </c>
      <c r="G16" s="8">
        <v>0</v>
      </c>
      <c r="H16" s="8">
        <v>0</v>
      </c>
      <c r="I16" s="8">
        <v>0</v>
      </c>
      <c r="J16" s="98">
        <f>SUMIFS('4. C.Tiết P.Án B.Thường'!$N$11:$N$20001,'4. C.Tiết P.Án B.Thường'!$J$11:$J$20001,'4.1 TH P.Án B.Thường'!$F16,'4. C.Tiết P.Án B.Thường'!$K$11:$K$20001,'4.1 TH P.Án B.Thường'!$G16,'4. C.Tiết P.Án B.Thường'!$L$11:$L$20001,'4.1 TH P.Án B.Thường'!$H16,'4. C.Tiết P.Án B.Thường'!$M$11:$M$20001,'4.1 TH P.Án B.Thường'!$I16,'4. C.Tiết P.Án B.Thường'!$B$11:$B$20001,'4.1 TH P.Án B.Thường'!$B16,'4. C.Tiết P.Án B.Thường'!$D$11:$D$20001,"&lt;&gt;"&amp;"tạm ứng",'4. C.Tiết P.Án B.Thường'!$F$11:$F$20001,IF('4.1 TH P.Án B.Thường'!$D16=0,"",'4.1 TH P.Án B.Thường'!$D16))</f>
        <v>0</v>
      </c>
      <c r="K16" s="98">
        <f>SUMIFS('4. C.Tiết P.Án B.Thường'!$O$11:$O$20001,'4. C.Tiết P.Án B.Thường'!$J$11:$J$20001,'4.1 TH P.Án B.Thường'!$F16,'4. C.Tiết P.Án B.Thường'!$K$11:$K$20001,'4.1 TH P.Án B.Thường'!$G16,'4. C.Tiết P.Án B.Thường'!$L$11:$L$20001,'4.1 TH P.Án B.Thường'!$H16,'4. C.Tiết P.Án B.Thường'!$M$11:$M$20001,'4.1 TH P.Án B.Thường'!$I16,'4. C.Tiết P.Án B.Thường'!$B$11:$B$20001,'4.1 TH P.Án B.Thường'!$B16,'4. C.Tiết P.Án B.Thường'!$F$11:$F$20001,'4.1 TH P.Án B.Thường'!$D16,'4. C.Tiết P.Án B.Thường'!$F$11:$F$20001,"&lt;&gt;"&amp;"Tạm ứng",'4. C.Tiết P.Án B.Thường'!$H$11:$H$20001,"&lt;&gt;"&amp;"Tạm ứng")</f>
        <v>0</v>
      </c>
      <c r="L16" s="125">
        <f t="shared" si="1"/>
        <v>0</v>
      </c>
      <c r="M16" s="98">
        <f>(SUMIFS('9. Thu, chi PABT'!$T$11:$T$20001,'9. Thu, chi PABT'!$J$11:$J$20001,'4.1 TH P.Án B.Thường'!$F16,'9. Thu, chi PABT'!$K$11:$K$20001,'4.1 TH P.Án B.Thường'!$G16,'9. Thu, chi PABT'!$L$11:$L$20001,'4.1 TH P.Án B.Thường'!$H16,'9. Thu, chi PABT'!$M$11:$M$20001,'4.1 TH P.Án B.Thường'!$I16,'9. Thu, chi PABT'!$B$11:$B$20001,'4.1 TH P.Án B.Thường'!$B16,'9. Thu, chi PABT'!$D$11:$D$20001,"&lt;&gt;"&amp;"Tạm ứng",'9. Thu, chi PABT'!$F$11:$F$20001,IF('4.1 TH P.Án B.Thường'!$D16=0,"",'4.1 TH P.Án B.Thường'!$D16),'9. Thu, chi PABT'!$H$11:$H$20001,"&lt;&gt;"&amp;"Tạm ứng")-SUMIFS('9. Thu, chi PABT'!$T$11:$T$20001,'9. Thu, chi PABT'!$J$11:$J$20001,'4.1 TH P.Án B.Thường'!$F16,'9. Thu, chi PABT'!$K$11:$K$20001,'4.1 TH P.Án B.Thường'!$G16,'9. Thu, chi PABT'!$L$11:$L$20001,'4.1 TH P.Án B.Thường'!$H16,'9. Thu, chi PABT'!$M$11:$M$20001,'4.1 TH P.Án B.Thường'!$I16,'9. Thu, chi PABT'!$B$11:$B$20001,'4.1 TH P.Án B.Thường'!$B16,'9. Thu, chi PABT'!$F$11:$F$20001,'4.1 TH P.Án B.Thường'!$D16,'9. Thu, chi PABT'!$F$11:$F$20001,"&lt;&gt;"&amp;"Tạm ứng",'9. Thu, chi PABT'!$H$11:$H$20001,"&lt;&gt;"&amp;"Tạm ứng"))-(SUMIFS('9. Thu, chi PABT'!$U$11:$U$20001,'9. Thu, chi PABT'!$J$11:$J$20001,'4.1 TH P.Án B.Thường'!$F16,'9. Thu, chi PABT'!$K$11:$K$20001,'4.1 TH P.Án B.Thường'!$G16,'9. Thu, chi PABT'!$L$11:$L$20001,'4.1 TH P.Án B.Thường'!$H16,'9. Thu, chi PABT'!$M$11:$M$20001,'4.1 TH P.Án B.Thường'!$I16,'9. Thu, chi PABT'!$B$11:$B$20001,'4.1 TH P.Án B.Thường'!$B16,'9. Thu, chi PABT'!$F$11:$F$20001,IF('4.1 TH P.Án B.Thường'!$D16=0,"",'4.1 TH P.Án B.Thường'!$D16))-SUMIFS('9. Thu, chi PABT'!$U$11:$U$20001,'9. Thu, chi PABT'!$J$11:$J$20001,'4.1 TH P.Án B.Thường'!$F16,'9. Thu, chi PABT'!$K$11:$K$20001,'4.1 TH P.Án B.Thường'!$G16,'9. Thu, chi PABT'!$L$11:$L$20001,'4.1 TH P.Án B.Thường'!$H16,'9. Thu, chi PABT'!$M$11:$M$20001,'4.1 TH P.Án B.Thường'!$I16,'9. Thu, chi PABT'!$B$11:$B$20001,'4.1 TH P.Án B.Thường'!$B16,'9. Thu, chi PABT'!$F$11:$F$20001,'4.1 TH P.Án B.Thường'!$D16))</f>
        <v>0</v>
      </c>
      <c r="N16" s="98">
        <f>SUMIFS('9. Thu, chi PABT'!$T$11:$T$20001,'9. Thu, chi PABT'!$J$11:$J$20001,'4.1 TH P.Án B.Thường'!$F16,'9. Thu, chi PABT'!$K$11:$K$20001,'4.1 TH P.Án B.Thường'!$G16,'9. Thu, chi PABT'!$L$11:$L$20001,'4.1 TH P.Án B.Thường'!$H16,'9. Thu, chi PABT'!$M$11:$M$20001,'4.1 TH P.Án B.Thường'!$I16,'9. Thu, chi PABT'!$B$11:$B$20001,'4.1 TH P.Án B.Thường'!$B16,'9. Thu, chi PABT'!$F$11:$F$20001,'4.1 TH P.Án B.Thường'!$D16,'9. Thu, chi PABT'!$F$11:$F$20001,"&lt;&gt;"&amp;"Tạm ứng",'9. Thu, chi PABT'!$H$11:$H$20001,"&lt;&gt;"&amp;"Tạm ứng")-SUMIFS('9. Thu, chi PABT'!$U$11:$U$20001,'9. Thu, chi PABT'!$J$11:$J$20001,'4.1 TH P.Án B.Thường'!$F16,'9. Thu, chi PABT'!$K$11:$K$20001,'4.1 TH P.Án B.Thường'!$G16,'9. Thu, chi PABT'!$L$11:$L$20001,'4.1 TH P.Án B.Thường'!$H16,'9. Thu, chi PABT'!$M$11:$M$20001,'4.1 TH P.Án B.Thường'!$I16,'9. Thu, chi PABT'!$B$11:$B$20001,'4.1 TH P.Án B.Thường'!$B16,'9. Thu, chi PABT'!$F$11:$F$20001,'4.1 TH P.Án B.Thường'!$D16)</f>
        <v>0</v>
      </c>
      <c r="O16" s="125">
        <f t="shared" si="2"/>
        <v>0</v>
      </c>
      <c r="P16" s="125">
        <f t="shared" si="3"/>
        <v>0</v>
      </c>
      <c r="Q16" s="125">
        <f t="shared" si="4"/>
        <v>0</v>
      </c>
      <c r="R16" s="125">
        <f t="shared" si="5"/>
        <v>0</v>
      </c>
    </row>
    <row r="17" spans="1:18" x14ac:dyDescent="0.25">
      <c r="A17" s="7">
        <v>9</v>
      </c>
      <c r="B17" s="8"/>
      <c r="C17" s="9"/>
      <c r="D17" s="8"/>
      <c r="E17" s="9"/>
      <c r="F17" s="8"/>
      <c r="G17" s="8"/>
      <c r="H17" s="8"/>
      <c r="I17" s="8"/>
      <c r="J17" s="98">
        <f>SUMIFS('4. C.Tiết P.Án B.Thường'!$N$11:$N$20001,'4. C.Tiết P.Án B.Thường'!$J$11:$J$20001,'4.1 TH P.Án B.Thường'!$F17,'4. C.Tiết P.Án B.Thường'!$K$11:$K$20001,'4.1 TH P.Án B.Thường'!$G17,'4. C.Tiết P.Án B.Thường'!$L$11:$L$20001,'4.1 TH P.Án B.Thường'!$H17,'4. C.Tiết P.Án B.Thường'!$M$11:$M$20001,'4.1 TH P.Án B.Thường'!$I17,'4. C.Tiết P.Án B.Thường'!$B$11:$B$20001,'4.1 TH P.Án B.Thường'!$B17,'4. C.Tiết P.Án B.Thường'!$D$11:$D$20001,"&lt;&gt;"&amp;"tạm ứng",'4. C.Tiết P.Án B.Thường'!$F$11:$F$20001,IF('4.1 TH P.Án B.Thường'!$D17=0,"",'4.1 TH P.Án B.Thường'!$D17))</f>
        <v>0</v>
      </c>
      <c r="K17" s="98">
        <f>SUMIFS('4. C.Tiết P.Án B.Thường'!$O$11:$O$20001,'4. C.Tiết P.Án B.Thường'!$J$11:$J$20001,'4.1 TH P.Án B.Thường'!$F17,'4. C.Tiết P.Án B.Thường'!$K$11:$K$20001,'4.1 TH P.Án B.Thường'!$G17,'4. C.Tiết P.Án B.Thường'!$L$11:$L$20001,'4.1 TH P.Án B.Thường'!$H17,'4. C.Tiết P.Án B.Thường'!$M$11:$M$20001,'4.1 TH P.Án B.Thường'!$I17,'4. C.Tiết P.Án B.Thường'!$B$11:$B$20001,'4.1 TH P.Án B.Thường'!$B17,'4. C.Tiết P.Án B.Thường'!$F$11:$F$20001,'4.1 TH P.Án B.Thường'!$D17,'4. C.Tiết P.Án B.Thường'!$F$11:$F$20001,"&lt;&gt;"&amp;"Tạm ứng",'4. C.Tiết P.Án B.Thường'!$H$11:$H$20001,"&lt;&gt;"&amp;"Tạm ứng")</f>
        <v>0</v>
      </c>
      <c r="L17" s="125">
        <f t="shared" si="1"/>
        <v>0</v>
      </c>
      <c r="M17" s="98">
        <f>(SUMIFS('9. Thu, chi PABT'!$T$11:$T$20001,'9. Thu, chi PABT'!$J$11:$J$20001,'4.1 TH P.Án B.Thường'!$F17,'9. Thu, chi PABT'!$K$11:$K$20001,'4.1 TH P.Án B.Thường'!$G17,'9. Thu, chi PABT'!$L$11:$L$20001,'4.1 TH P.Án B.Thường'!$H17,'9. Thu, chi PABT'!$M$11:$M$20001,'4.1 TH P.Án B.Thường'!$I17,'9. Thu, chi PABT'!$B$11:$B$20001,'4.1 TH P.Án B.Thường'!$B17,'9. Thu, chi PABT'!$D$11:$D$20001,"&lt;&gt;"&amp;"Tạm ứng",'9. Thu, chi PABT'!$F$11:$F$20001,IF('4.1 TH P.Án B.Thường'!$D17=0,"",'4.1 TH P.Án B.Thường'!$D17),'9. Thu, chi PABT'!$H$11:$H$20001,"&lt;&gt;"&amp;"Tạm ứng")-SUMIFS('9. Thu, chi PABT'!$T$11:$T$20001,'9. Thu, chi PABT'!$J$11:$J$20001,'4.1 TH P.Án B.Thường'!$F17,'9. Thu, chi PABT'!$K$11:$K$20001,'4.1 TH P.Án B.Thường'!$G17,'9. Thu, chi PABT'!$L$11:$L$20001,'4.1 TH P.Án B.Thường'!$H17,'9. Thu, chi PABT'!$M$11:$M$20001,'4.1 TH P.Án B.Thường'!$I17,'9. Thu, chi PABT'!$B$11:$B$20001,'4.1 TH P.Án B.Thường'!$B17,'9. Thu, chi PABT'!$F$11:$F$20001,'4.1 TH P.Án B.Thường'!$D17,'9. Thu, chi PABT'!$F$11:$F$20001,"&lt;&gt;"&amp;"Tạm ứng",'9. Thu, chi PABT'!$H$11:$H$20001,"&lt;&gt;"&amp;"Tạm ứng"))-(SUMIFS('9. Thu, chi PABT'!$U$11:$U$20001,'9. Thu, chi PABT'!$J$11:$J$20001,'4.1 TH P.Án B.Thường'!$F17,'9. Thu, chi PABT'!$K$11:$K$20001,'4.1 TH P.Án B.Thường'!$G17,'9. Thu, chi PABT'!$L$11:$L$20001,'4.1 TH P.Án B.Thường'!$H17,'9. Thu, chi PABT'!$M$11:$M$20001,'4.1 TH P.Án B.Thường'!$I17,'9. Thu, chi PABT'!$B$11:$B$20001,'4.1 TH P.Án B.Thường'!$B17,'9. Thu, chi PABT'!$F$11:$F$20001,IF('4.1 TH P.Án B.Thường'!$D17=0,"",'4.1 TH P.Án B.Thường'!$D17))-SUMIFS('9. Thu, chi PABT'!$U$11:$U$20001,'9. Thu, chi PABT'!$J$11:$J$20001,'4.1 TH P.Án B.Thường'!$F17,'9. Thu, chi PABT'!$K$11:$K$20001,'4.1 TH P.Án B.Thường'!$G17,'9. Thu, chi PABT'!$L$11:$L$20001,'4.1 TH P.Án B.Thường'!$H17,'9. Thu, chi PABT'!$M$11:$M$20001,'4.1 TH P.Án B.Thường'!$I17,'9. Thu, chi PABT'!$B$11:$B$20001,'4.1 TH P.Án B.Thường'!$B17,'9. Thu, chi PABT'!$F$11:$F$20001,'4.1 TH P.Án B.Thường'!$D17))</f>
        <v>0</v>
      </c>
      <c r="N17" s="98">
        <f>SUMIFS('9. Thu, chi PABT'!$T$11:$T$20001,'9. Thu, chi PABT'!$J$11:$J$20001,'4.1 TH P.Án B.Thường'!$F17,'9. Thu, chi PABT'!$K$11:$K$20001,'4.1 TH P.Án B.Thường'!$G17,'9. Thu, chi PABT'!$L$11:$L$20001,'4.1 TH P.Án B.Thường'!$H17,'9. Thu, chi PABT'!$M$11:$M$20001,'4.1 TH P.Án B.Thường'!$I17,'9. Thu, chi PABT'!$B$11:$B$20001,'4.1 TH P.Án B.Thường'!$B17,'9. Thu, chi PABT'!$F$11:$F$20001,'4.1 TH P.Án B.Thường'!$D17,'9. Thu, chi PABT'!$F$11:$F$20001,"&lt;&gt;"&amp;"Tạm ứng",'9. Thu, chi PABT'!$H$11:$H$20001,"&lt;&gt;"&amp;"Tạm ứng")-SUMIFS('9. Thu, chi PABT'!$U$11:$U$20001,'9. Thu, chi PABT'!$J$11:$J$20001,'4.1 TH P.Án B.Thường'!$F17,'9. Thu, chi PABT'!$K$11:$K$20001,'4.1 TH P.Án B.Thường'!$G17,'9. Thu, chi PABT'!$L$11:$L$20001,'4.1 TH P.Án B.Thường'!$H17,'9. Thu, chi PABT'!$M$11:$M$20001,'4.1 TH P.Án B.Thường'!$I17,'9. Thu, chi PABT'!$B$11:$B$20001,'4.1 TH P.Án B.Thường'!$B17,'9. Thu, chi PABT'!$F$11:$F$20001,'4.1 TH P.Án B.Thường'!$D17)</f>
        <v>0</v>
      </c>
      <c r="O17" s="125">
        <f t="shared" si="2"/>
        <v>0</v>
      </c>
      <c r="P17" s="125">
        <f t="shared" si="3"/>
        <v>0</v>
      </c>
      <c r="Q17" s="125">
        <f t="shared" si="4"/>
        <v>0</v>
      </c>
      <c r="R17" s="125">
        <f t="shared" si="5"/>
        <v>0</v>
      </c>
    </row>
    <row r="18" spans="1:18" x14ac:dyDescent="0.25">
      <c r="A18" s="7">
        <v>10</v>
      </c>
      <c r="B18" s="8"/>
      <c r="C18" s="9"/>
      <c r="D18" s="8"/>
      <c r="E18" s="9"/>
      <c r="F18" s="8"/>
      <c r="G18" s="8"/>
      <c r="H18" s="8"/>
      <c r="I18" s="8"/>
      <c r="J18" s="98">
        <f>SUMIFS('4. C.Tiết P.Án B.Thường'!$N$11:$N$20001,'4. C.Tiết P.Án B.Thường'!$J$11:$J$20001,'4.1 TH P.Án B.Thường'!$F18,'4. C.Tiết P.Án B.Thường'!$K$11:$K$20001,'4.1 TH P.Án B.Thường'!$G18,'4. C.Tiết P.Án B.Thường'!$L$11:$L$20001,'4.1 TH P.Án B.Thường'!$H18,'4. C.Tiết P.Án B.Thường'!$M$11:$M$20001,'4.1 TH P.Án B.Thường'!$I18,'4. C.Tiết P.Án B.Thường'!$B$11:$B$20001,'4.1 TH P.Án B.Thường'!$B18,'4. C.Tiết P.Án B.Thường'!$D$11:$D$20001,"&lt;&gt;"&amp;"tạm ứng",'4. C.Tiết P.Án B.Thường'!$F$11:$F$20001,IF('4.1 TH P.Án B.Thường'!$D18=0,"",'4.1 TH P.Án B.Thường'!$D18))</f>
        <v>0</v>
      </c>
      <c r="K18" s="98">
        <f>SUMIFS('4. C.Tiết P.Án B.Thường'!$O$11:$O$20001,'4. C.Tiết P.Án B.Thường'!$J$11:$J$20001,'4.1 TH P.Án B.Thường'!$F18,'4. C.Tiết P.Án B.Thường'!$K$11:$K$20001,'4.1 TH P.Án B.Thường'!$G18,'4. C.Tiết P.Án B.Thường'!$L$11:$L$20001,'4.1 TH P.Án B.Thường'!$H18,'4. C.Tiết P.Án B.Thường'!$M$11:$M$20001,'4.1 TH P.Án B.Thường'!$I18,'4. C.Tiết P.Án B.Thường'!$B$11:$B$20001,'4.1 TH P.Án B.Thường'!$B18,'4. C.Tiết P.Án B.Thường'!$F$11:$F$20001,'4.1 TH P.Án B.Thường'!$D18,'4. C.Tiết P.Án B.Thường'!$F$11:$F$20001,"&lt;&gt;"&amp;"Tạm ứng",'4. C.Tiết P.Án B.Thường'!$H$11:$H$20001,"&lt;&gt;"&amp;"Tạm ứng")</f>
        <v>0</v>
      </c>
      <c r="L18" s="125">
        <f t="shared" si="1"/>
        <v>0</v>
      </c>
      <c r="M18" s="98">
        <f>(SUMIFS('9. Thu, chi PABT'!$T$11:$T$20001,'9. Thu, chi PABT'!$J$11:$J$20001,'4.1 TH P.Án B.Thường'!$F18,'9. Thu, chi PABT'!$K$11:$K$20001,'4.1 TH P.Án B.Thường'!$G18,'9. Thu, chi PABT'!$L$11:$L$20001,'4.1 TH P.Án B.Thường'!$H18,'9. Thu, chi PABT'!$M$11:$M$20001,'4.1 TH P.Án B.Thường'!$I18,'9. Thu, chi PABT'!$B$11:$B$20001,'4.1 TH P.Án B.Thường'!$B18,'9. Thu, chi PABT'!$D$11:$D$20001,"&lt;&gt;"&amp;"Tạm ứng",'9. Thu, chi PABT'!$F$11:$F$20001,IF('4.1 TH P.Án B.Thường'!$D18=0,"",'4.1 TH P.Án B.Thường'!$D18),'9. Thu, chi PABT'!$H$11:$H$20001,"&lt;&gt;"&amp;"Tạm ứng")-SUMIFS('9. Thu, chi PABT'!$T$11:$T$20001,'9. Thu, chi PABT'!$J$11:$J$20001,'4.1 TH P.Án B.Thường'!$F18,'9. Thu, chi PABT'!$K$11:$K$20001,'4.1 TH P.Án B.Thường'!$G18,'9. Thu, chi PABT'!$L$11:$L$20001,'4.1 TH P.Án B.Thường'!$H18,'9. Thu, chi PABT'!$M$11:$M$20001,'4.1 TH P.Án B.Thường'!$I18,'9. Thu, chi PABT'!$B$11:$B$20001,'4.1 TH P.Án B.Thường'!$B18,'9. Thu, chi PABT'!$F$11:$F$20001,'4.1 TH P.Án B.Thường'!$D18,'9. Thu, chi PABT'!$F$11:$F$20001,"&lt;&gt;"&amp;"Tạm ứng",'9. Thu, chi PABT'!$H$11:$H$20001,"&lt;&gt;"&amp;"Tạm ứng"))-(SUMIFS('9. Thu, chi PABT'!$U$11:$U$20001,'9. Thu, chi PABT'!$J$11:$J$20001,'4.1 TH P.Án B.Thường'!$F18,'9. Thu, chi PABT'!$K$11:$K$20001,'4.1 TH P.Án B.Thường'!$G18,'9. Thu, chi PABT'!$L$11:$L$20001,'4.1 TH P.Án B.Thường'!$H18,'9. Thu, chi PABT'!$M$11:$M$20001,'4.1 TH P.Án B.Thường'!$I18,'9. Thu, chi PABT'!$B$11:$B$20001,'4.1 TH P.Án B.Thường'!$B18,'9. Thu, chi PABT'!$F$11:$F$20001,IF('4.1 TH P.Án B.Thường'!$D18=0,"",'4.1 TH P.Án B.Thường'!$D18))-SUMIFS('9. Thu, chi PABT'!$U$11:$U$20001,'9. Thu, chi PABT'!$J$11:$J$20001,'4.1 TH P.Án B.Thường'!$F18,'9. Thu, chi PABT'!$K$11:$K$20001,'4.1 TH P.Án B.Thường'!$G18,'9. Thu, chi PABT'!$L$11:$L$20001,'4.1 TH P.Án B.Thường'!$H18,'9. Thu, chi PABT'!$M$11:$M$20001,'4.1 TH P.Án B.Thường'!$I18,'9. Thu, chi PABT'!$B$11:$B$20001,'4.1 TH P.Án B.Thường'!$B18,'9. Thu, chi PABT'!$F$11:$F$20001,'4.1 TH P.Án B.Thường'!$D18))</f>
        <v>0</v>
      </c>
      <c r="N18" s="98">
        <f>SUMIFS('9. Thu, chi PABT'!$T$11:$T$20001,'9. Thu, chi PABT'!$J$11:$J$20001,'4.1 TH P.Án B.Thường'!$F18,'9. Thu, chi PABT'!$K$11:$K$20001,'4.1 TH P.Án B.Thường'!$G18,'9. Thu, chi PABT'!$L$11:$L$20001,'4.1 TH P.Án B.Thường'!$H18,'9. Thu, chi PABT'!$M$11:$M$20001,'4.1 TH P.Án B.Thường'!$I18,'9. Thu, chi PABT'!$B$11:$B$20001,'4.1 TH P.Án B.Thường'!$B18,'9. Thu, chi PABT'!$F$11:$F$20001,'4.1 TH P.Án B.Thường'!$D18,'9. Thu, chi PABT'!$F$11:$F$20001,"&lt;&gt;"&amp;"Tạm ứng",'9. Thu, chi PABT'!$H$11:$H$20001,"&lt;&gt;"&amp;"Tạm ứng")-SUMIFS('9. Thu, chi PABT'!$U$11:$U$20001,'9. Thu, chi PABT'!$J$11:$J$20001,'4.1 TH P.Án B.Thường'!$F18,'9. Thu, chi PABT'!$K$11:$K$20001,'4.1 TH P.Án B.Thường'!$G18,'9. Thu, chi PABT'!$L$11:$L$20001,'4.1 TH P.Án B.Thường'!$H18,'9. Thu, chi PABT'!$M$11:$M$20001,'4.1 TH P.Án B.Thường'!$I18,'9. Thu, chi PABT'!$B$11:$B$20001,'4.1 TH P.Án B.Thường'!$B18,'9. Thu, chi PABT'!$F$11:$F$20001,'4.1 TH P.Án B.Thường'!$D18)</f>
        <v>0</v>
      </c>
      <c r="O18" s="125">
        <f t="shared" si="2"/>
        <v>0</v>
      </c>
      <c r="P18" s="125">
        <f t="shared" si="3"/>
        <v>0</v>
      </c>
      <c r="Q18" s="125">
        <f t="shared" si="4"/>
        <v>0</v>
      </c>
      <c r="R18" s="125">
        <f t="shared" si="5"/>
        <v>0</v>
      </c>
    </row>
    <row r="19" spans="1:18" x14ac:dyDescent="0.25">
      <c r="A19" s="7">
        <v>11</v>
      </c>
      <c r="B19" s="8"/>
      <c r="C19" s="9"/>
      <c r="D19" s="8"/>
      <c r="E19" s="9"/>
      <c r="F19" s="8"/>
      <c r="G19" s="8"/>
      <c r="H19" s="8"/>
      <c r="I19" s="8"/>
      <c r="J19" s="98">
        <f>SUMIFS('4. C.Tiết P.Án B.Thường'!$N$11:$N$20001,'4. C.Tiết P.Án B.Thường'!$J$11:$J$20001,'4.1 TH P.Án B.Thường'!$F19,'4. C.Tiết P.Án B.Thường'!$K$11:$K$20001,'4.1 TH P.Án B.Thường'!$G19,'4. C.Tiết P.Án B.Thường'!$L$11:$L$20001,'4.1 TH P.Án B.Thường'!$H19,'4. C.Tiết P.Án B.Thường'!$M$11:$M$20001,'4.1 TH P.Án B.Thường'!$I19,'4. C.Tiết P.Án B.Thường'!$B$11:$B$20001,'4.1 TH P.Án B.Thường'!$B19,'4. C.Tiết P.Án B.Thường'!$D$11:$D$20001,"&lt;&gt;"&amp;"tạm ứng",'4. C.Tiết P.Án B.Thường'!$F$11:$F$20001,IF('4.1 TH P.Án B.Thường'!$D19=0,"",'4.1 TH P.Án B.Thường'!$D19))</f>
        <v>0</v>
      </c>
      <c r="K19" s="98">
        <f>SUMIFS('4. C.Tiết P.Án B.Thường'!$O$11:$O$20001,'4. C.Tiết P.Án B.Thường'!$J$11:$J$20001,'4.1 TH P.Án B.Thường'!$F19,'4. C.Tiết P.Án B.Thường'!$K$11:$K$20001,'4.1 TH P.Án B.Thường'!$G19,'4. C.Tiết P.Án B.Thường'!$L$11:$L$20001,'4.1 TH P.Án B.Thường'!$H19,'4. C.Tiết P.Án B.Thường'!$M$11:$M$20001,'4.1 TH P.Án B.Thường'!$I19,'4. C.Tiết P.Án B.Thường'!$B$11:$B$20001,'4.1 TH P.Án B.Thường'!$B19,'4. C.Tiết P.Án B.Thường'!$F$11:$F$20001,'4.1 TH P.Án B.Thường'!$D19,'4. C.Tiết P.Án B.Thường'!$F$11:$F$20001,"&lt;&gt;"&amp;"Tạm ứng",'4. C.Tiết P.Án B.Thường'!$H$11:$H$20001,"&lt;&gt;"&amp;"Tạm ứng")</f>
        <v>0</v>
      </c>
      <c r="L19" s="125">
        <f t="shared" si="1"/>
        <v>0</v>
      </c>
      <c r="M19" s="98">
        <f>(SUMIFS('9. Thu, chi PABT'!$T$11:$T$20001,'9. Thu, chi PABT'!$J$11:$J$20001,'4.1 TH P.Án B.Thường'!$F19,'9. Thu, chi PABT'!$K$11:$K$20001,'4.1 TH P.Án B.Thường'!$G19,'9. Thu, chi PABT'!$L$11:$L$20001,'4.1 TH P.Án B.Thường'!$H19,'9. Thu, chi PABT'!$M$11:$M$20001,'4.1 TH P.Án B.Thường'!$I19,'9. Thu, chi PABT'!$B$11:$B$20001,'4.1 TH P.Án B.Thường'!$B19,'9. Thu, chi PABT'!$D$11:$D$20001,"&lt;&gt;"&amp;"Tạm ứng",'9. Thu, chi PABT'!$F$11:$F$20001,IF('4.1 TH P.Án B.Thường'!$D19=0,"",'4.1 TH P.Án B.Thường'!$D19),'9. Thu, chi PABT'!$H$11:$H$20001,"&lt;&gt;"&amp;"Tạm ứng")-SUMIFS('9. Thu, chi PABT'!$T$11:$T$20001,'9. Thu, chi PABT'!$J$11:$J$20001,'4.1 TH P.Án B.Thường'!$F19,'9. Thu, chi PABT'!$K$11:$K$20001,'4.1 TH P.Án B.Thường'!$G19,'9. Thu, chi PABT'!$L$11:$L$20001,'4.1 TH P.Án B.Thường'!$H19,'9. Thu, chi PABT'!$M$11:$M$20001,'4.1 TH P.Án B.Thường'!$I19,'9. Thu, chi PABT'!$B$11:$B$20001,'4.1 TH P.Án B.Thường'!$B19,'9. Thu, chi PABT'!$F$11:$F$20001,'4.1 TH P.Án B.Thường'!$D19,'9. Thu, chi PABT'!$F$11:$F$20001,"&lt;&gt;"&amp;"Tạm ứng",'9. Thu, chi PABT'!$H$11:$H$20001,"&lt;&gt;"&amp;"Tạm ứng"))-(SUMIFS('9. Thu, chi PABT'!$U$11:$U$20001,'9. Thu, chi PABT'!$J$11:$J$20001,'4.1 TH P.Án B.Thường'!$F19,'9. Thu, chi PABT'!$K$11:$K$20001,'4.1 TH P.Án B.Thường'!$G19,'9. Thu, chi PABT'!$L$11:$L$20001,'4.1 TH P.Án B.Thường'!$H19,'9. Thu, chi PABT'!$M$11:$M$20001,'4.1 TH P.Án B.Thường'!$I19,'9. Thu, chi PABT'!$B$11:$B$20001,'4.1 TH P.Án B.Thường'!$B19,'9. Thu, chi PABT'!$F$11:$F$20001,IF('4.1 TH P.Án B.Thường'!$D19=0,"",'4.1 TH P.Án B.Thường'!$D19))-SUMIFS('9. Thu, chi PABT'!$U$11:$U$20001,'9. Thu, chi PABT'!$J$11:$J$20001,'4.1 TH P.Án B.Thường'!$F19,'9. Thu, chi PABT'!$K$11:$K$20001,'4.1 TH P.Án B.Thường'!$G19,'9. Thu, chi PABT'!$L$11:$L$20001,'4.1 TH P.Án B.Thường'!$H19,'9. Thu, chi PABT'!$M$11:$M$20001,'4.1 TH P.Án B.Thường'!$I19,'9. Thu, chi PABT'!$B$11:$B$20001,'4.1 TH P.Án B.Thường'!$B19,'9. Thu, chi PABT'!$F$11:$F$20001,'4.1 TH P.Án B.Thường'!$D19))</f>
        <v>0</v>
      </c>
      <c r="N19" s="98">
        <f>SUMIFS('9. Thu, chi PABT'!$T$11:$T$20001,'9. Thu, chi PABT'!$J$11:$J$20001,'4.1 TH P.Án B.Thường'!$F19,'9. Thu, chi PABT'!$K$11:$K$20001,'4.1 TH P.Án B.Thường'!$G19,'9. Thu, chi PABT'!$L$11:$L$20001,'4.1 TH P.Án B.Thường'!$H19,'9. Thu, chi PABT'!$M$11:$M$20001,'4.1 TH P.Án B.Thường'!$I19,'9. Thu, chi PABT'!$B$11:$B$20001,'4.1 TH P.Án B.Thường'!$B19,'9. Thu, chi PABT'!$F$11:$F$20001,'4.1 TH P.Án B.Thường'!$D19,'9. Thu, chi PABT'!$F$11:$F$20001,"&lt;&gt;"&amp;"Tạm ứng",'9. Thu, chi PABT'!$H$11:$H$20001,"&lt;&gt;"&amp;"Tạm ứng")-SUMIFS('9. Thu, chi PABT'!$U$11:$U$20001,'9. Thu, chi PABT'!$J$11:$J$20001,'4.1 TH P.Án B.Thường'!$F19,'9. Thu, chi PABT'!$K$11:$K$20001,'4.1 TH P.Án B.Thường'!$G19,'9. Thu, chi PABT'!$L$11:$L$20001,'4.1 TH P.Án B.Thường'!$H19,'9. Thu, chi PABT'!$M$11:$M$20001,'4.1 TH P.Án B.Thường'!$I19,'9. Thu, chi PABT'!$B$11:$B$20001,'4.1 TH P.Án B.Thường'!$B19,'9. Thu, chi PABT'!$F$11:$F$20001,'4.1 TH P.Án B.Thường'!$D19)</f>
        <v>0</v>
      </c>
      <c r="O19" s="125">
        <f t="shared" si="2"/>
        <v>0</v>
      </c>
      <c r="P19" s="125">
        <f t="shared" si="3"/>
        <v>0</v>
      </c>
      <c r="Q19" s="125">
        <f t="shared" si="4"/>
        <v>0</v>
      </c>
      <c r="R19" s="125">
        <f t="shared" si="5"/>
        <v>0</v>
      </c>
    </row>
    <row r="20" spans="1:18" x14ac:dyDescent="0.25">
      <c r="A20" s="7">
        <v>12</v>
      </c>
      <c r="B20" s="8"/>
      <c r="C20" s="9"/>
      <c r="D20" s="8"/>
      <c r="E20" s="9"/>
      <c r="F20" s="8"/>
      <c r="G20" s="8"/>
      <c r="H20" s="8"/>
      <c r="I20" s="8"/>
      <c r="J20" s="98">
        <f>SUMIFS('4. C.Tiết P.Án B.Thường'!$N$11:$N$20001,'4. C.Tiết P.Án B.Thường'!$J$11:$J$20001,'4.1 TH P.Án B.Thường'!$F20,'4. C.Tiết P.Án B.Thường'!$K$11:$K$20001,'4.1 TH P.Án B.Thường'!$G20,'4. C.Tiết P.Án B.Thường'!$L$11:$L$20001,'4.1 TH P.Án B.Thường'!$H20,'4. C.Tiết P.Án B.Thường'!$M$11:$M$20001,'4.1 TH P.Án B.Thường'!$I20,'4. C.Tiết P.Án B.Thường'!$B$11:$B$20001,'4.1 TH P.Án B.Thường'!$B20,'4. C.Tiết P.Án B.Thường'!$D$11:$D$20001,"&lt;&gt;"&amp;"tạm ứng",'4. C.Tiết P.Án B.Thường'!$F$11:$F$20001,IF('4.1 TH P.Án B.Thường'!$D20=0,"",'4.1 TH P.Án B.Thường'!$D20))</f>
        <v>0</v>
      </c>
      <c r="K20" s="98">
        <f>SUMIFS('4. C.Tiết P.Án B.Thường'!$O$11:$O$20001,'4. C.Tiết P.Án B.Thường'!$J$11:$J$20001,'4.1 TH P.Án B.Thường'!$F20,'4. C.Tiết P.Án B.Thường'!$K$11:$K$20001,'4.1 TH P.Án B.Thường'!$G20,'4. C.Tiết P.Án B.Thường'!$L$11:$L$20001,'4.1 TH P.Án B.Thường'!$H20,'4. C.Tiết P.Án B.Thường'!$M$11:$M$20001,'4.1 TH P.Án B.Thường'!$I20,'4. C.Tiết P.Án B.Thường'!$B$11:$B$20001,'4.1 TH P.Án B.Thường'!$B20,'4. C.Tiết P.Án B.Thường'!$F$11:$F$20001,'4.1 TH P.Án B.Thường'!$D20,'4. C.Tiết P.Án B.Thường'!$F$11:$F$20001,"&lt;&gt;"&amp;"Tạm ứng",'4. C.Tiết P.Án B.Thường'!$H$11:$H$20001,"&lt;&gt;"&amp;"Tạm ứng")</f>
        <v>0</v>
      </c>
      <c r="L20" s="125">
        <f t="shared" si="1"/>
        <v>0</v>
      </c>
      <c r="M20" s="98">
        <f>(SUMIFS('9. Thu, chi PABT'!$T$11:$T$20001,'9. Thu, chi PABT'!$J$11:$J$20001,'4.1 TH P.Án B.Thường'!$F20,'9. Thu, chi PABT'!$K$11:$K$20001,'4.1 TH P.Án B.Thường'!$G20,'9. Thu, chi PABT'!$L$11:$L$20001,'4.1 TH P.Án B.Thường'!$H20,'9. Thu, chi PABT'!$M$11:$M$20001,'4.1 TH P.Án B.Thường'!$I20,'9. Thu, chi PABT'!$B$11:$B$20001,'4.1 TH P.Án B.Thường'!$B20,'9. Thu, chi PABT'!$D$11:$D$20001,"&lt;&gt;"&amp;"Tạm ứng",'9. Thu, chi PABT'!$F$11:$F$20001,IF('4.1 TH P.Án B.Thường'!$D20=0,"",'4.1 TH P.Án B.Thường'!$D20),'9. Thu, chi PABT'!$H$11:$H$20001,"&lt;&gt;"&amp;"Tạm ứng")-SUMIFS('9. Thu, chi PABT'!$T$11:$T$20001,'9. Thu, chi PABT'!$J$11:$J$20001,'4.1 TH P.Án B.Thường'!$F20,'9. Thu, chi PABT'!$K$11:$K$20001,'4.1 TH P.Án B.Thường'!$G20,'9. Thu, chi PABT'!$L$11:$L$20001,'4.1 TH P.Án B.Thường'!$H20,'9. Thu, chi PABT'!$M$11:$M$20001,'4.1 TH P.Án B.Thường'!$I20,'9. Thu, chi PABT'!$B$11:$B$20001,'4.1 TH P.Án B.Thường'!$B20,'9. Thu, chi PABT'!$F$11:$F$20001,'4.1 TH P.Án B.Thường'!$D20,'9. Thu, chi PABT'!$F$11:$F$20001,"&lt;&gt;"&amp;"Tạm ứng",'9. Thu, chi PABT'!$H$11:$H$20001,"&lt;&gt;"&amp;"Tạm ứng"))-(SUMIFS('9. Thu, chi PABT'!$U$11:$U$20001,'9. Thu, chi PABT'!$J$11:$J$20001,'4.1 TH P.Án B.Thường'!$F20,'9. Thu, chi PABT'!$K$11:$K$20001,'4.1 TH P.Án B.Thường'!$G20,'9. Thu, chi PABT'!$L$11:$L$20001,'4.1 TH P.Án B.Thường'!$H20,'9. Thu, chi PABT'!$M$11:$M$20001,'4.1 TH P.Án B.Thường'!$I20,'9. Thu, chi PABT'!$B$11:$B$20001,'4.1 TH P.Án B.Thường'!$B20,'9. Thu, chi PABT'!$F$11:$F$20001,IF('4.1 TH P.Án B.Thường'!$D20=0,"",'4.1 TH P.Án B.Thường'!$D20))-SUMIFS('9. Thu, chi PABT'!$U$11:$U$20001,'9. Thu, chi PABT'!$J$11:$J$20001,'4.1 TH P.Án B.Thường'!$F20,'9. Thu, chi PABT'!$K$11:$K$20001,'4.1 TH P.Án B.Thường'!$G20,'9. Thu, chi PABT'!$L$11:$L$20001,'4.1 TH P.Án B.Thường'!$H20,'9. Thu, chi PABT'!$M$11:$M$20001,'4.1 TH P.Án B.Thường'!$I20,'9. Thu, chi PABT'!$B$11:$B$20001,'4.1 TH P.Án B.Thường'!$B20,'9. Thu, chi PABT'!$F$11:$F$20001,'4.1 TH P.Án B.Thường'!$D20))</f>
        <v>0</v>
      </c>
      <c r="N20" s="98">
        <f>SUMIFS('9. Thu, chi PABT'!$T$11:$T$20001,'9. Thu, chi PABT'!$J$11:$J$20001,'4.1 TH P.Án B.Thường'!$F20,'9. Thu, chi PABT'!$K$11:$K$20001,'4.1 TH P.Án B.Thường'!$G20,'9. Thu, chi PABT'!$L$11:$L$20001,'4.1 TH P.Án B.Thường'!$H20,'9. Thu, chi PABT'!$M$11:$M$20001,'4.1 TH P.Án B.Thường'!$I20,'9. Thu, chi PABT'!$B$11:$B$20001,'4.1 TH P.Án B.Thường'!$B20,'9. Thu, chi PABT'!$F$11:$F$20001,'4.1 TH P.Án B.Thường'!$D20,'9. Thu, chi PABT'!$F$11:$F$20001,"&lt;&gt;"&amp;"Tạm ứng",'9. Thu, chi PABT'!$H$11:$H$20001,"&lt;&gt;"&amp;"Tạm ứng")-SUMIFS('9. Thu, chi PABT'!$U$11:$U$20001,'9. Thu, chi PABT'!$J$11:$J$20001,'4.1 TH P.Án B.Thường'!$F20,'9. Thu, chi PABT'!$K$11:$K$20001,'4.1 TH P.Án B.Thường'!$G20,'9. Thu, chi PABT'!$L$11:$L$20001,'4.1 TH P.Án B.Thường'!$H20,'9. Thu, chi PABT'!$M$11:$M$20001,'4.1 TH P.Án B.Thường'!$I20,'9. Thu, chi PABT'!$B$11:$B$20001,'4.1 TH P.Án B.Thường'!$B20,'9. Thu, chi PABT'!$F$11:$F$20001,'4.1 TH P.Án B.Thường'!$D20)</f>
        <v>0</v>
      </c>
      <c r="O20" s="125">
        <f t="shared" si="2"/>
        <v>0</v>
      </c>
      <c r="P20" s="125">
        <f t="shared" si="3"/>
        <v>0</v>
      </c>
      <c r="Q20" s="125">
        <f t="shared" si="4"/>
        <v>0</v>
      </c>
      <c r="R20" s="125">
        <f t="shared" si="5"/>
        <v>0</v>
      </c>
    </row>
    <row r="21" spans="1:18" x14ac:dyDescent="0.25">
      <c r="A21" s="7">
        <v>13</v>
      </c>
      <c r="B21" s="8"/>
      <c r="C21" s="9"/>
      <c r="D21" s="8"/>
      <c r="E21" s="9"/>
      <c r="F21" s="8"/>
      <c r="G21" s="8"/>
      <c r="H21" s="8"/>
      <c r="I21" s="8"/>
      <c r="J21" s="98">
        <f>SUMIFS('4. C.Tiết P.Án B.Thường'!$N$11:$N$20001,'4. C.Tiết P.Án B.Thường'!$J$11:$J$20001,'4.1 TH P.Án B.Thường'!$F21,'4. C.Tiết P.Án B.Thường'!$K$11:$K$20001,'4.1 TH P.Án B.Thường'!$G21,'4. C.Tiết P.Án B.Thường'!$L$11:$L$20001,'4.1 TH P.Án B.Thường'!$H21,'4. C.Tiết P.Án B.Thường'!$M$11:$M$20001,'4.1 TH P.Án B.Thường'!$I21,'4. C.Tiết P.Án B.Thường'!$B$11:$B$20001,'4.1 TH P.Án B.Thường'!$B21,'4. C.Tiết P.Án B.Thường'!$D$11:$D$20001,"&lt;&gt;"&amp;"tạm ứng",'4. C.Tiết P.Án B.Thường'!$F$11:$F$20001,IF('4.1 TH P.Án B.Thường'!$D21=0,"",'4.1 TH P.Án B.Thường'!$D21))</f>
        <v>0</v>
      </c>
      <c r="K21" s="98">
        <f>SUMIFS('4. C.Tiết P.Án B.Thường'!$O$11:$O$20001,'4. C.Tiết P.Án B.Thường'!$J$11:$J$20001,'4.1 TH P.Án B.Thường'!$F21,'4. C.Tiết P.Án B.Thường'!$K$11:$K$20001,'4.1 TH P.Án B.Thường'!$G21,'4. C.Tiết P.Án B.Thường'!$L$11:$L$20001,'4.1 TH P.Án B.Thường'!$H21,'4. C.Tiết P.Án B.Thường'!$M$11:$M$20001,'4.1 TH P.Án B.Thường'!$I21,'4. C.Tiết P.Án B.Thường'!$B$11:$B$20001,'4.1 TH P.Án B.Thường'!$B21,'4. C.Tiết P.Án B.Thường'!$F$11:$F$20001,'4.1 TH P.Án B.Thường'!$D21,'4. C.Tiết P.Án B.Thường'!$F$11:$F$20001,"&lt;&gt;"&amp;"Tạm ứng",'4. C.Tiết P.Án B.Thường'!$H$11:$H$20001,"&lt;&gt;"&amp;"Tạm ứng")</f>
        <v>0</v>
      </c>
      <c r="L21" s="125">
        <f t="shared" si="1"/>
        <v>0</v>
      </c>
      <c r="M21" s="98">
        <f>(SUMIFS('9. Thu, chi PABT'!$T$11:$T$20001,'9. Thu, chi PABT'!$J$11:$J$20001,'4.1 TH P.Án B.Thường'!$F21,'9. Thu, chi PABT'!$K$11:$K$20001,'4.1 TH P.Án B.Thường'!$G21,'9. Thu, chi PABT'!$L$11:$L$20001,'4.1 TH P.Án B.Thường'!$H21,'9. Thu, chi PABT'!$M$11:$M$20001,'4.1 TH P.Án B.Thường'!$I21,'9. Thu, chi PABT'!$B$11:$B$20001,'4.1 TH P.Án B.Thường'!$B21,'9. Thu, chi PABT'!$D$11:$D$20001,"&lt;&gt;"&amp;"Tạm ứng",'9. Thu, chi PABT'!$F$11:$F$20001,IF('4.1 TH P.Án B.Thường'!$D21=0,"",'4.1 TH P.Án B.Thường'!$D21),'9. Thu, chi PABT'!$H$11:$H$20001,"&lt;&gt;"&amp;"Tạm ứng")-SUMIFS('9. Thu, chi PABT'!$T$11:$T$20001,'9. Thu, chi PABT'!$J$11:$J$20001,'4.1 TH P.Án B.Thường'!$F21,'9. Thu, chi PABT'!$K$11:$K$20001,'4.1 TH P.Án B.Thường'!$G21,'9. Thu, chi PABT'!$L$11:$L$20001,'4.1 TH P.Án B.Thường'!$H21,'9. Thu, chi PABT'!$M$11:$M$20001,'4.1 TH P.Án B.Thường'!$I21,'9. Thu, chi PABT'!$B$11:$B$20001,'4.1 TH P.Án B.Thường'!$B21,'9. Thu, chi PABT'!$F$11:$F$20001,'4.1 TH P.Án B.Thường'!$D21,'9. Thu, chi PABT'!$F$11:$F$20001,"&lt;&gt;"&amp;"Tạm ứng",'9. Thu, chi PABT'!$H$11:$H$20001,"&lt;&gt;"&amp;"Tạm ứng"))-(SUMIFS('9. Thu, chi PABT'!$U$11:$U$20001,'9. Thu, chi PABT'!$J$11:$J$20001,'4.1 TH P.Án B.Thường'!$F21,'9. Thu, chi PABT'!$K$11:$K$20001,'4.1 TH P.Án B.Thường'!$G21,'9. Thu, chi PABT'!$L$11:$L$20001,'4.1 TH P.Án B.Thường'!$H21,'9. Thu, chi PABT'!$M$11:$M$20001,'4.1 TH P.Án B.Thường'!$I21,'9. Thu, chi PABT'!$B$11:$B$20001,'4.1 TH P.Án B.Thường'!$B21,'9. Thu, chi PABT'!$F$11:$F$20001,IF('4.1 TH P.Án B.Thường'!$D21=0,"",'4.1 TH P.Án B.Thường'!$D21))-SUMIFS('9. Thu, chi PABT'!$U$11:$U$20001,'9. Thu, chi PABT'!$J$11:$J$20001,'4.1 TH P.Án B.Thường'!$F21,'9. Thu, chi PABT'!$K$11:$K$20001,'4.1 TH P.Án B.Thường'!$G21,'9. Thu, chi PABT'!$L$11:$L$20001,'4.1 TH P.Án B.Thường'!$H21,'9. Thu, chi PABT'!$M$11:$M$20001,'4.1 TH P.Án B.Thường'!$I21,'9. Thu, chi PABT'!$B$11:$B$20001,'4.1 TH P.Án B.Thường'!$B21,'9. Thu, chi PABT'!$F$11:$F$20001,'4.1 TH P.Án B.Thường'!$D21))</f>
        <v>0</v>
      </c>
      <c r="N21" s="98">
        <f>SUMIFS('9. Thu, chi PABT'!$T$11:$T$20001,'9. Thu, chi PABT'!$J$11:$J$20001,'4.1 TH P.Án B.Thường'!$F21,'9. Thu, chi PABT'!$K$11:$K$20001,'4.1 TH P.Án B.Thường'!$G21,'9. Thu, chi PABT'!$L$11:$L$20001,'4.1 TH P.Án B.Thường'!$H21,'9. Thu, chi PABT'!$M$11:$M$20001,'4.1 TH P.Án B.Thường'!$I21,'9. Thu, chi PABT'!$B$11:$B$20001,'4.1 TH P.Án B.Thường'!$B21,'9. Thu, chi PABT'!$F$11:$F$20001,'4.1 TH P.Án B.Thường'!$D21,'9. Thu, chi PABT'!$F$11:$F$20001,"&lt;&gt;"&amp;"Tạm ứng",'9. Thu, chi PABT'!$H$11:$H$20001,"&lt;&gt;"&amp;"Tạm ứng")-SUMIFS('9. Thu, chi PABT'!$U$11:$U$20001,'9. Thu, chi PABT'!$J$11:$J$20001,'4.1 TH P.Án B.Thường'!$F21,'9. Thu, chi PABT'!$K$11:$K$20001,'4.1 TH P.Án B.Thường'!$G21,'9. Thu, chi PABT'!$L$11:$L$20001,'4.1 TH P.Án B.Thường'!$H21,'9. Thu, chi PABT'!$M$11:$M$20001,'4.1 TH P.Án B.Thường'!$I21,'9. Thu, chi PABT'!$B$11:$B$20001,'4.1 TH P.Án B.Thường'!$B21,'9. Thu, chi PABT'!$F$11:$F$20001,'4.1 TH P.Án B.Thường'!$D21)</f>
        <v>0</v>
      </c>
      <c r="O21" s="125">
        <f t="shared" si="2"/>
        <v>0</v>
      </c>
      <c r="P21" s="125">
        <f t="shared" si="3"/>
        <v>0</v>
      </c>
      <c r="Q21" s="125">
        <f t="shared" si="4"/>
        <v>0</v>
      </c>
      <c r="R21" s="125">
        <f t="shared" si="5"/>
        <v>0</v>
      </c>
    </row>
    <row r="22" spans="1:18" x14ac:dyDescent="0.25">
      <c r="A22" s="7">
        <v>14</v>
      </c>
      <c r="B22" s="8"/>
      <c r="C22" s="9"/>
      <c r="D22" s="8"/>
      <c r="E22" s="9"/>
      <c r="F22" s="8"/>
      <c r="G22" s="8"/>
      <c r="H22" s="8"/>
      <c r="I22" s="8"/>
      <c r="J22" s="98">
        <f>SUMIFS('4. C.Tiết P.Án B.Thường'!$N$11:$N$20001,'4. C.Tiết P.Án B.Thường'!$J$11:$J$20001,'4.1 TH P.Án B.Thường'!$F22,'4. C.Tiết P.Án B.Thường'!$K$11:$K$20001,'4.1 TH P.Án B.Thường'!$G22,'4. C.Tiết P.Án B.Thường'!$L$11:$L$20001,'4.1 TH P.Án B.Thường'!$H22,'4. C.Tiết P.Án B.Thường'!$M$11:$M$20001,'4.1 TH P.Án B.Thường'!$I22,'4. C.Tiết P.Án B.Thường'!$B$11:$B$20001,'4.1 TH P.Án B.Thường'!$B22,'4. C.Tiết P.Án B.Thường'!$D$11:$D$20001,"&lt;&gt;"&amp;"tạm ứng",'4. C.Tiết P.Án B.Thường'!$F$11:$F$20001,IF('4.1 TH P.Án B.Thường'!$D22=0,"",'4.1 TH P.Án B.Thường'!$D22))</f>
        <v>0</v>
      </c>
      <c r="K22" s="98">
        <f>SUMIFS('4. C.Tiết P.Án B.Thường'!$O$11:$O$20001,'4. C.Tiết P.Án B.Thường'!$J$11:$J$20001,'4.1 TH P.Án B.Thường'!$F22,'4. C.Tiết P.Án B.Thường'!$K$11:$K$20001,'4.1 TH P.Án B.Thường'!$G22,'4. C.Tiết P.Án B.Thường'!$L$11:$L$20001,'4.1 TH P.Án B.Thường'!$H22,'4. C.Tiết P.Án B.Thường'!$M$11:$M$20001,'4.1 TH P.Án B.Thường'!$I22,'4. C.Tiết P.Án B.Thường'!$B$11:$B$20001,'4.1 TH P.Án B.Thường'!$B22,'4. C.Tiết P.Án B.Thường'!$F$11:$F$20001,'4.1 TH P.Án B.Thường'!$D22,'4. C.Tiết P.Án B.Thường'!$F$11:$F$20001,"&lt;&gt;"&amp;"Tạm ứng",'4. C.Tiết P.Án B.Thường'!$H$11:$H$20001,"&lt;&gt;"&amp;"Tạm ứng")</f>
        <v>0</v>
      </c>
      <c r="L22" s="125">
        <f t="shared" si="1"/>
        <v>0</v>
      </c>
      <c r="M22" s="98">
        <f>(SUMIFS('9. Thu, chi PABT'!$T$11:$T$20001,'9. Thu, chi PABT'!$J$11:$J$20001,'4.1 TH P.Án B.Thường'!$F22,'9. Thu, chi PABT'!$K$11:$K$20001,'4.1 TH P.Án B.Thường'!$G22,'9. Thu, chi PABT'!$L$11:$L$20001,'4.1 TH P.Án B.Thường'!$H22,'9. Thu, chi PABT'!$M$11:$M$20001,'4.1 TH P.Án B.Thường'!$I22,'9. Thu, chi PABT'!$B$11:$B$20001,'4.1 TH P.Án B.Thường'!$B22,'9. Thu, chi PABT'!$D$11:$D$20001,"&lt;&gt;"&amp;"Tạm ứng",'9. Thu, chi PABT'!$F$11:$F$20001,IF('4.1 TH P.Án B.Thường'!$D22=0,"",'4.1 TH P.Án B.Thường'!$D22),'9. Thu, chi PABT'!$H$11:$H$20001,"&lt;&gt;"&amp;"Tạm ứng")-SUMIFS('9. Thu, chi PABT'!$T$11:$T$20001,'9. Thu, chi PABT'!$J$11:$J$20001,'4.1 TH P.Án B.Thường'!$F22,'9. Thu, chi PABT'!$K$11:$K$20001,'4.1 TH P.Án B.Thường'!$G22,'9. Thu, chi PABT'!$L$11:$L$20001,'4.1 TH P.Án B.Thường'!$H22,'9. Thu, chi PABT'!$M$11:$M$20001,'4.1 TH P.Án B.Thường'!$I22,'9. Thu, chi PABT'!$B$11:$B$20001,'4.1 TH P.Án B.Thường'!$B22,'9. Thu, chi PABT'!$F$11:$F$20001,'4.1 TH P.Án B.Thường'!$D22,'9. Thu, chi PABT'!$F$11:$F$20001,"&lt;&gt;"&amp;"Tạm ứng",'9. Thu, chi PABT'!$H$11:$H$20001,"&lt;&gt;"&amp;"Tạm ứng"))-(SUMIFS('9. Thu, chi PABT'!$U$11:$U$20001,'9. Thu, chi PABT'!$J$11:$J$20001,'4.1 TH P.Án B.Thường'!$F22,'9. Thu, chi PABT'!$K$11:$K$20001,'4.1 TH P.Án B.Thường'!$G22,'9. Thu, chi PABT'!$L$11:$L$20001,'4.1 TH P.Án B.Thường'!$H22,'9. Thu, chi PABT'!$M$11:$M$20001,'4.1 TH P.Án B.Thường'!$I22,'9. Thu, chi PABT'!$B$11:$B$20001,'4.1 TH P.Án B.Thường'!$B22,'9. Thu, chi PABT'!$F$11:$F$20001,IF('4.1 TH P.Án B.Thường'!$D22=0,"",'4.1 TH P.Án B.Thường'!$D22))-SUMIFS('9. Thu, chi PABT'!$U$11:$U$20001,'9. Thu, chi PABT'!$J$11:$J$20001,'4.1 TH P.Án B.Thường'!$F22,'9. Thu, chi PABT'!$K$11:$K$20001,'4.1 TH P.Án B.Thường'!$G22,'9. Thu, chi PABT'!$L$11:$L$20001,'4.1 TH P.Án B.Thường'!$H22,'9. Thu, chi PABT'!$M$11:$M$20001,'4.1 TH P.Án B.Thường'!$I22,'9. Thu, chi PABT'!$B$11:$B$20001,'4.1 TH P.Án B.Thường'!$B22,'9. Thu, chi PABT'!$F$11:$F$20001,'4.1 TH P.Án B.Thường'!$D22))</f>
        <v>0</v>
      </c>
      <c r="N22" s="98">
        <f>SUMIFS('9. Thu, chi PABT'!$T$11:$T$20001,'9. Thu, chi PABT'!$J$11:$J$20001,'4.1 TH P.Án B.Thường'!$F22,'9. Thu, chi PABT'!$K$11:$K$20001,'4.1 TH P.Án B.Thường'!$G22,'9. Thu, chi PABT'!$L$11:$L$20001,'4.1 TH P.Án B.Thường'!$H22,'9. Thu, chi PABT'!$M$11:$M$20001,'4.1 TH P.Án B.Thường'!$I22,'9. Thu, chi PABT'!$B$11:$B$20001,'4.1 TH P.Án B.Thường'!$B22,'9. Thu, chi PABT'!$F$11:$F$20001,'4.1 TH P.Án B.Thường'!$D22,'9. Thu, chi PABT'!$F$11:$F$20001,"&lt;&gt;"&amp;"Tạm ứng",'9. Thu, chi PABT'!$H$11:$H$20001,"&lt;&gt;"&amp;"Tạm ứng")-SUMIFS('9. Thu, chi PABT'!$U$11:$U$20001,'9. Thu, chi PABT'!$J$11:$J$20001,'4.1 TH P.Án B.Thường'!$F22,'9. Thu, chi PABT'!$K$11:$K$20001,'4.1 TH P.Án B.Thường'!$G22,'9. Thu, chi PABT'!$L$11:$L$20001,'4.1 TH P.Án B.Thường'!$H22,'9. Thu, chi PABT'!$M$11:$M$20001,'4.1 TH P.Án B.Thường'!$I22,'9. Thu, chi PABT'!$B$11:$B$20001,'4.1 TH P.Án B.Thường'!$B22,'9. Thu, chi PABT'!$F$11:$F$20001,'4.1 TH P.Án B.Thường'!$D22)</f>
        <v>0</v>
      </c>
      <c r="O22" s="125">
        <f t="shared" si="2"/>
        <v>0</v>
      </c>
      <c r="P22" s="125">
        <f t="shared" si="3"/>
        <v>0</v>
      </c>
      <c r="Q22" s="125">
        <f t="shared" si="4"/>
        <v>0</v>
      </c>
      <c r="R22" s="125">
        <f t="shared" si="5"/>
        <v>0</v>
      </c>
    </row>
    <row r="23" spans="1:18" x14ac:dyDescent="0.25">
      <c r="A23" s="7">
        <v>15</v>
      </c>
      <c r="B23" s="8"/>
      <c r="C23" s="9"/>
      <c r="D23" s="8"/>
      <c r="E23" s="9"/>
      <c r="F23" s="8"/>
      <c r="G23" s="8"/>
      <c r="H23" s="8"/>
      <c r="I23" s="8"/>
      <c r="J23" s="98">
        <f>SUMIFS('4. C.Tiết P.Án B.Thường'!$N$11:$N$20001,'4. C.Tiết P.Án B.Thường'!$J$11:$J$20001,'4.1 TH P.Án B.Thường'!$F23,'4. C.Tiết P.Án B.Thường'!$K$11:$K$20001,'4.1 TH P.Án B.Thường'!$G23,'4. C.Tiết P.Án B.Thường'!$L$11:$L$20001,'4.1 TH P.Án B.Thường'!$H23,'4. C.Tiết P.Án B.Thường'!$M$11:$M$20001,'4.1 TH P.Án B.Thường'!$I23,'4. C.Tiết P.Án B.Thường'!$B$11:$B$20001,'4.1 TH P.Án B.Thường'!$B23,'4. C.Tiết P.Án B.Thường'!$D$11:$D$20001,"&lt;&gt;"&amp;"tạm ứng",'4. C.Tiết P.Án B.Thường'!$F$11:$F$20001,IF('4.1 TH P.Án B.Thường'!$D23=0,"",'4.1 TH P.Án B.Thường'!$D23))</f>
        <v>0</v>
      </c>
      <c r="K23" s="98">
        <f>SUMIFS('4. C.Tiết P.Án B.Thường'!$O$11:$O$20001,'4. C.Tiết P.Án B.Thường'!$J$11:$J$20001,'4.1 TH P.Án B.Thường'!$F23,'4. C.Tiết P.Án B.Thường'!$K$11:$K$20001,'4.1 TH P.Án B.Thường'!$G23,'4. C.Tiết P.Án B.Thường'!$L$11:$L$20001,'4.1 TH P.Án B.Thường'!$H23,'4. C.Tiết P.Án B.Thường'!$M$11:$M$20001,'4.1 TH P.Án B.Thường'!$I23,'4. C.Tiết P.Án B.Thường'!$B$11:$B$20001,'4.1 TH P.Án B.Thường'!$B23,'4. C.Tiết P.Án B.Thường'!$F$11:$F$20001,'4.1 TH P.Án B.Thường'!$D23,'4. C.Tiết P.Án B.Thường'!$F$11:$F$20001,"&lt;&gt;"&amp;"Tạm ứng",'4. C.Tiết P.Án B.Thường'!$H$11:$H$20001,"&lt;&gt;"&amp;"Tạm ứng")</f>
        <v>0</v>
      </c>
      <c r="L23" s="125">
        <f t="shared" si="1"/>
        <v>0</v>
      </c>
      <c r="M23" s="98">
        <f>(SUMIFS('9. Thu, chi PABT'!$T$11:$T$20001,'9. Thu, chi PABT'!$J$11:$J$20001,'4.1 TH P.Án B.Thường'!$F23,'9. Thu, chi PABT'!$K$11:$K$20001,'4.1 TH P.Án B.Thường'!$G23,'9. Thu, chi PABT'!$L$11:$L$20001,'4.1 TH P.Án B.Thường'!$H23,'9. Thu, chi PABT'!$M$11:$M$20001,'4.1 TH P.Án B.Thường'!$I23,'9. Thu, chi PABT'!$B$11:$B$20001,'4.1 TH P.Án B.Thường'!$B23,'9. Thu, chi PABT'!$D$11:$D$20001,"&lt;&gt;"&amp;"Tạm ứng",'9. Thu, chi PABT'!$F$11:$F$20001,IF('4.1 TH P.Án B.Thường'!$D23=0,"",'4.1 TH P.Án B.Thường'!$D23),'9. Thu, chi PABT'!$H$11:$H$20001,"&lt;&gt;"&amp;"Tạm ứng")-SUMIFS('9. Thu, chi PABT'!$T$11:$T$20001,'9. Thu, chi PABT'!$J$11:$J$20001,'4.1 TH P.Án B.Thường'!$F23,'9. Thu, chi PABT'!$K$11:$K$20001,'4.1 TH P.Án B.Thường'!$G23,'9. Thu, chi PABT'!$L$11:$L$20001,'4.1 TH P.Án B.Thường'!$H23,'9. Thu, chi PABT'!$M$11:$M$20001,'4.1 TH P.Án B.Thường'!$I23,'9. Thu, chi PABT'!$B$11:$B$20001,'4.1 TH P.Án B.Thường'!$B23,'9. Thu, chi PABT'!$F$11:$F$20001,'4.1 TH P.Án B.Thường'!$D23,'9. Thu, chi PABT'!$F$11:$F$20001,"&lt;&gt;"&amp;"Tạm ứng",'9. Thu, chi PABT'!$H$11:$H$20001,"&lt;&gt;"&amp;"Tạm ứng"))-(SUMIFS('9. Thu, chi PABT'!$U$11:$U$20001,'9. Thu, chi PABT'!$J$11:$J$20001,'4.1 TH P.Án B.Thường'!$F23,'9. Thu, chi PABT'!$K$11:$K$20001,'4.1 TH P.Án B.Thường'!$G23,'9. Thu, chi PABT'!$L$11:$L$20001,'4.1 TH P.Án B.Thường'!$H23,'9. Thu, chi PABT'!$M$11:$M$20001,'4.1 TH P.Án B.Thường'!$I23,'9. Thu, chi PABT'!$B$11:$B$20001,'4.1 TH P.Án B.Thường'!$B23,'9. Thu, chi PABT'!$F$11:$F$20001,IF('4.1 TH P.Án B.Thường'!$D23=0,"",'4.1 TH P.Án B.Thường'!$D23))-SUMIFS('9. Thu, chi PABT'!$U$11:$U$20001,'9. Thu, chi PABT'!$J$11:$J$20001,'4.1 TH P.Án B.Thường'!$F23,'9. Thu, chi PABT'!$K$11:$K$20001,'4.1 TH P.Án B.Thường'!$G23,'9. Thu, chi PABT'!$L$11:$L$20001,'4.1 TH P.Án B.Thường'!$H23,'9. Thu, chi PABT'!$M$11:$M$20001,'4.1 TH P.Án B.Thường'!$I23,'9. Thu, chi PABT'!$B$11:$B$20001,'4.1 TH P.Án B.Thường'!$B23,'9. Thu, chi PABT'!$F$11:$F$20001,'4.1 TH P.Án B.Thường'!$D23))</f>
        <v>0</v>
      </c>
      <c r="N23" s="98">
        <f>SUMIFS('9. Thu, chi PABT'!$T$11:$T$20001,'9. Thu, chi PABT'!$J$11:$J$20001,'4.1 TH P.Án B.Thường'!$F23,'9. Thu, chi PABT'!$K$11:$K$20001,'4.1 TH P.Án B.Thường'!$G23,'9. Thu, chi PABT'!$L$11:$L$20001,'4.1 TH P.Án B.Thường'!$H23,'9. Thu, chi PABT'!$M$11:$M$20001,'4.1 TH P.Án B.Thường'!$I23,'9. Thu, chi PABT'!$B$11:$B$20001,'4.1 TH P.Án B.Thường'!$B23,'9. Thu, chi PABT'!$F$11:$F$20001,'4.1 TH P.Án B.Thường'!$D23,'9. Thu, chi PABT'!$F$11:$F$20001,"&lt;&gt;"&amp;"Tạm ứng",'9. Thu, chi PABT'!$H$11:$H$20001,"&lt;&gt;"&amp;"Tạm ứng")-SUMIFS('9. Thu, chi PABT'!$U$11:$U$20001,'9. Thu, chi PABT'!$J$11:$J$20001,'4.1 TH P.Án B.Thường'!$F23,'9. Thu, chi PABT'!$K$11:$K$20001,'4.1 TH P.Án B.Thường'!$G23,'9. Thu, chi PABT'!$L$11:$L$20001,'4.1 TH P.Án B.Thường'!$H23,'9. Thu, chi PABT'!$M$11:$M$20001,'4.1 TH P.Án B.Thường'!$I23,'9. Thu, chi PABT'!$B$11:$B$20001,'4.1 TH P.Án B.Thường'!$B23,'9. Thu, chi PABT'!$F$11:$F$20001,'4.1 TH P.Án B.Thường'!$D23)</f>
        <v>0</v>
      </c>
      <c r="O23" s="125">
        <f t="shared" si="2"/>
        <v>0</v>
      </c>
      <c r="P23" s="125">
        <f t="shared" si="3"/>
        <v>0</v>
      </c>
      <c r="Q23" s="125">
        <f t="shared" si="4"/>
        <v>0</v>
      </c>
      <c r="R23" s="125">
        <f t="shared" si="5"/>
        <v>0</v>
      </c>
    </row>
    <row r="24" spans="1:18" x14ac:dyDescent="0.25">
      <c r="A24" s="7">
        <v>16</v>
      </c>
      <c r="B24" s="8"/>
      <c r="C24" s="9"/>
      <c r="D24" s="8"/>
      <c r="E24" s="9"/>
      <c r="F24" s="8"/>
      <c r="G24" s="8"/>
      <c r="H24" s="8"/>
      <c r="I24" s="8"/>
      <c r="J24" s="98">
        <f>SUMIFS('4. C.Tiết P.Án B.Thường'!$N$11:$N$20001,'4. C.Tiết P.Án B.Thường'!$J$11:$J$20001,'4.1 TH P.Án B.Thường'!$F24,'4. C.Tiết P.Án B.Thường'!$K$11:$K$20001,'4.1 TH P.Án B.Thường'!$G24,'4. C.Tiết P.Án B.Thường'!$L$11:$L$20001,'4.1 TH P.Án B.Thường'!$H24,'4. C.Tiết P.Án B.Thường'!$M$11:$M$20001,'4.1 TH P.Án B.Thường'!$I24,'4. C.Tiết P.Án B.Thường'!$B$11:$B$20001,'4.1 TH P.Án B.Thường'!$B24,'4. C.Tiết P.Án B.Thường'!$D$11:$D$20001,"&lt;&gt;"&amp;"tạm ứng",'4. C.Tiết P.Án B.Thường'!$F$11:$F$20001,IF('4.1 TH P.Án B.Thường'!$D24=0,"",'4.1 TH P.Án B.Thường'!$D24))</f>
        <v>0</v>
      </c>
      <c r="K24" s="98">
        <f>SUMIFS('4. C.Tiết P.Án B.Thường'!$O$11:$O$20001,'4. C.Tiết P.Án B.Thường'!$J$11:$J$20001,'4.1 TH P.Án B.Thường'!$F24,'4. C.Tiết P.Án B.Thường'!$K$11:$K$20001,'4.1 TH P.Án B.Thường'!$G24,'4. C.Tiết P.Án B.Thường'!$L$11:$L$20001,'4.1 TH P.Án B.Thường'!$H24,'4. C.Tiết P.Án B.Thường'!$M$11:$M$20001,'4.1 TH P.Án B.Thường'!$I24,'4. C.Tiết P.Án B.Thường'!$B$11:$B$20001,'4.1 TH P.Án B.Thường'!$B24,'4. C.Tiết P.Án B.Thường'!$F$11:$F$20001,'4.1 TH P.Án B.Thường'!$D24,'4. C.Tiết P.Án B.Thường'!$F$11:$F$20001,"&lt;&gt;"&amp;"Tạm ứng",'4. C.Tiết P.Án B.Thường'!$H$11:$H$20001,"&lt;&gt;"&amp;"Tạm ứng")</f>
        <v>0</v>
      </c>
      <c r="L24" s="125">
        <f t="shared" si="1"/>
        <v>0</v>
      </c>
      <c r="M24" s="98">
        <f>(SUMIFS('9. Thu, chi PABT'!$T$11:$T$20001,'9. Thu, chi PABT'!$J$11:$J$20001,'4.1 TH P.Án B.Thường'!$F24,'9. Thu, chi PABT'!$K$11:$K$20001,'4.1 TH P.Án B.Thường'!$G24,'9. Thu, chi PABT'!$L$11:$L$20001,'4.1 TH P.Án B.Thường'!$H24,'9. Thu, chi PABT'!$M$11:$M$20001,'4.1 TH P.Án B.Thường'!$I24,'9. Thu, chi PABT'!$B$11:$B$20001,'4.1 TH P.Án B.Thường'!$B24,'9. Thu, chi PABT'!$D$11:$D$20001,"&lt;&gt;"&amp;"Tạm ứng",'9. Thu, chi PABT'!$F$11:$F$20001,IF('4.1 TH P.Án B.Thường'!$D24=0,"",'4.1 TH P.Án B.Thường'!$D24),'9. Thu, chi PABT'!$H$11:$H$20001,"&lt;&gt;"&amp;"Tạm ứng")-SUMIFS('9. Thu, chi PABT'!$T$11:$T$20001,'9. Thu, chi PABT'!$J$11:$J$20001,'4.1 TH P.Án B.Thường'!$F24,'9. Thu, chi PABT'!$K$11:$K$20001,'4.1 TH P.Án B.Thường'!$G24,'9. Thu, chi PABT'!$L$11:$L$20001,'4.1 TH P.Án B.Thường'!$H24,'9. Thu, chi PABT'!$M$11:$M$20001,'4.1 TH P.Án B.Thường'!$I24,'9. Thu, chi PABT'!$B$11:$B$20001,'4.1 TH P.Án B.Thường'!$B24,'9. Thu, chi PABT'!$F$11:$F$20001,'4.1 TH P.Án B.Thường'!$D24,'9. Thu, chi PABT'!$F$11:$F$20001,"&lt;&gt;"&amp;"Tạm ứng",'9. Thu, chi PABT'!$H$11:$H$20001,"&lt;&gt;"&amp;"Tạm ứng"))-(SUMIFS('9. Thu, chi PABT'!$U$11:$U$20001,'9. Thu, chi PABT'!$J$11:$J$20001,'4.1 TH P.Án B.Thường'!$F24,'9. Thu, chi PABT'!$K$11:$K$20001,'4.1 TH P.Án B.Thường'!$G24,'9. Thu, chi PABT'!$L$11:$L$20001,'4.1 TH P.Án B.Thường'!$H24,'9. Thu, chi PABT'!$M$11:$M$20001,'4.1 TH P.Án B.Thường'!$I24,'9. Thu, chi PABT'!$B$11:$B$20001,'4.1 TH P.Án B.Thường'!$B24,'9. Thu, chi PABT'!$F$11:$F$20001,IF('4.1 TH P.Án B.Thường'!$D24=0,"",'4.1 TH P.Án B.Thường'!$D24))-SUMIFS('9. Thu, chi PABT'!$U$11:$U$20001,'9. Thu, chi PABT'!$J$11:$J$20001,'4.1 TH P.Án B.Thường'!$F24,'9. Thu, chi PABT'!$K$11:$K$20001,'4.1 TH P.Án B.Thường'!$G24,'9. Thu, chi PABT'!$L$11:$L$20001,'4.1 TH P.Án B.Thường'!$H24,'9. Thu, chi PABT'!$M$11:$M$20001,'4.1 TH P.Án B.Thường'!$I24,'9. Thu, chi PABT'!$B$11:$B$20001,'4.1 TH P.Án B.Thường'!$B24,'9. Thu, chi PABT'!$F$11:$F$20001,'4.1 TH P.Án B.Thường'!$D24))</f>
        <v>0</v>
      </c>
      <c r="N24" s="98">
        <f>SUMIFS('9. Thu, chi PABT'!$T$11:$T$20001,'9. Thu, chi PABT'!$J$11:$J$20001,'4.1 TH P.Án B.Thường'!$F24,'9. Thu, chi PABT'!$K$11:$K$20001,'4.1 TH P.Án B.Thường'!$G24,'9. Thu, chi PABT'!$L$11:$L$20001,'4.1 TH P.Án B.Thường'!$H24,'9. Thu, chi PABT'!$M$11:$M$20001,'4.1 TH P.Án B.Thường'!$I24,'9. Thu, chi PABT'!$B$11:$B$20001,'4.1 TH P.Án B.Thường'!$B24,'9. Thu, chi PABT'!$F$11:$F$20001,'4.1 TH P.Án B.Thường'!$D24,'9. Thu, chi PABT'!$F$11:$F$20001,"&lt;&gt;"&amp;"Tạm ứng",'9. Thu, chi PABT'!$H$11:$H$20001,"&lt;&gt;"&amp;"Tạm ứng")-SUMIFS('9. Thu, chi PABT'!$U$11:$U$20001,'9. Thu, chi PABT'!$J$11:$J$20001,'4.1 TH P.Án B.Thường'!$F24,'9. Thu, chi PABT'!$K$11:$K$20001,'4.1 TH P.Án B.Thường'!$G24,'9. Thu, chi PABT'!$L$11:$L$20001,'4.1 TH P.Án B.Thường'!$H24,'9. Thu, chi PABT'!$M$11:$M$20001,'4.1 TH P.Án B.Thường'!$I24,'9. Thu, chi PABT'!$B$11:$B$20001,'4.1 TH P.Án B.Thường'!$B24,'9. Thu, chi PABT'!$F$11:$F$20001,'4.1 TH P.Án B.Thường'!$D24)</f>
        <v>0</v>
      </c>
      <c r="O24" s="125">
        <f t="shared" si="2"/>
        <v>0</v>
      </c>
      <c r="P24" s="125">
        <f t="shared" si="3"/>
        <v>0</v>
      </c>
      <c r="Q24" s="125">
        <f t="shared" si="4"/>
        <v>0</v>
      </c>
      <c r="R24" s="125">
        <f t="shared" si="5"/>
        <v>0</v>
      </c>
    </row>
    <row r="25" spans="1:18" x14ac:dyDescent="0.25">
      <c r="A25" s="7">
        <v>17</v>
      </c>
      <c r="B25" s="8"/>
      <c r="C25" s="9"/>
      <c r="D25" s="8"/>
      <c r="E25" s="9"/>
      <c r="F25" s="8"/>
      <c r="G25" s="8"/>
      <c r="H25" s="8"/>
      <c r="I25" s="8"/>
      <c r="J25" s="98">
        <f>SUMIFS('4. C.Tiết P.Án B.Thường'!$N$11:$N$20001,'4. C.Tiết P.Án B.Thường'!$J$11:$J$20001,'4.1 TH P.Án B.Thường'!$F25,'4. C.Tiết P.Án B.Thường'!$K$11:$K$20001,'4.1 TH P.Án B.Thường'!$G25,'4. C.Tiết P.Án B.Thường'!$L$11:$L$20001,'4.1 TH P.Án B.Thường'!$H25,'4. C.Tiết P.Án B.Thường'!$M$11:$M$20001,'4.1 TH P.Án B.Thường'!$I25,'4. C.Tiết P.Án B.Thường'!$B$11:$B$20001,'4.1 TH P.Án B.Thường'!$B25,'4. C.Tiết P.Án B.Thường'!$D$11:$D$20001,"&lt;&gt;"&amp;"tạm ứng",'4. C.Tiết P.Án B.Thường'!$F$11:$F$20001,IF('4.1 TH P.Án B.Thường'!$D25=0,"",'4.1 TH P.Án B.Thường'!$D25))</f>
        <v>0</v>
      </c>
      <c r="K25" s="98">
        <f>SUMIFS('4. C.Tiết P.Án B.Thường'!$O$11:$O$20001,'4. C.Tiết P.Án B.Thường'!$J$11:$J$20001,'4.1 TH P.Án B.Thường'!$F25,'4. C.Tiết P.Án B.Thường'!$K$11:$K$20001,'4.1 TH P.Án B.Thường'!$G25,'4. C.Tiết P.Án B.Thường'!$L$11:$L$20001,'4.1 TH P.Án B.Thường'!$H25,'4. C.Tiết P.Án B.Thường'!$M$11:$M$20001,'4.1 TH P.Án B.Thường'!$I25,'4. C.Tiết P.Án B.Thường'!$B$11:$B$20001,'4.1 TH P.Án B.Thường'!$B25,'4. C.Tiết P.Án B.Thường'!$F$11:$F$20001,'4.1 TH P.Án B.Thường'!$D25,'4. C.Tiết P.Án B.Thường'!$F$11:$F$20001,"&lt;&gt;"&amp;"Tạm ứng",'4. C.Tiết P.Án B.Thường'!$H$11:$H$20001,"&lt;&gt;"&amp;"Tạm ứng")</f>
        <v>0</v>
      </c>
      <c r="L25" s="125">
        <f t="shared" si="1"/>
        <v>0</v>
      </c>
      <c r="M25" s="98">
        <f>(SUMIFS('9. Thu, chi PABT'!$T$11:$T$20001,'9. Thu, chi PABT'!$J$11:$J$20001,'4.1 TH P.Án B.Thường'!$F25,'9. Thu, chi PABT'!$K$11:$K$20001,'4.1 TH P.Án B.Thường'!$G25,'9. Thu, chi PABT'!$L$11:$L$20001,'4.1 TH P.Án B.Thường'!$H25,'9. Thu, chi PABT'!$M$11:$M$20001,'4.1 TH P.Án B.Thường'!$I25,'9. Thu, chi PABT'!$B$11:$B$20001,'4.1 TH P.Án B.Thường'!$B25,'9. Thu, chi PABT'!$D$11:$D$20001,"&lt;&gt;"&amp;"Tạm ứng",'9. Thu, chi PABT'!$F$11:$F$20001,IF('4.1 TH P.Án B.Thường'!$D25=0,"",'4.1 TH P.Án B.Thường'!$D25),'9. Thu, chi PABT'!$H$11:$H$20001,"&lt;&gt;"&amp;"Tạm ứng")-SUMIFS('9. Thu, chi PABT'!$T$11:$T$20001,'9. Thu, chi PABT'!$J$11:$J$20001,'4.1 TH P.Án B.Thường'!$F25,'9. Thu, chi PABT'!$K$11:$K$20001,'4.1 TH P.Án B.Thường'!$G25,'9. Thu, chi PABT'!$L$11:$L$20001,'4.1 TH P.Án B.Thường'!$H25,'9. Thu, chi PABT'!$M$11:$M$20001,'4.1 TH P.Án B.Thường'!$I25,'9. Thu, chi PABT'!$B$11:$B$20001,'4.1 TH P.Án B.Thường'!$B25,'9. Thu, chi PABT'!$F$11:$F$20001,'4.1 TH P.Án B.Thường'!$D25,'9. Thu, chi PABT'!$F$11:$F$20001,"&lt;&gt;"&amp;"Tạm ứng",'9. Thu, chi PABT'!$H$11:$H$20001,"&lt;&gt;"&amp;"Tạm ứng"))-(SUMIFS('9. Thu, chi PABT'!$U$11:$U$20001,'9. Thu, chi PABT'!$J$11:$J$20001,'4.1 TH P.Án B.Thường'!$F25,'9. Thu, chi PABT'!$K$11:$K$20001,'4.1 TH P.Án B.Thường'!$G25,'9. Thu, chi PABT'!$L$11:$L$20001,'4.1 TH P.Án B.Thường'!$H25,'9. Thu, chi PABT'!$M$11:$M$20001,'4.1 TH P.Án B.Thường'!$I25,'9. Thu, chi PABT'!$B$11:$B$20001,'4.1 TH P.Án B.Thường'!$B25,'9. Thu, chi PABT'!$F$11:$F$20001,IF('4.1 TH P.Án B.Thường'!$D25=0,"",'4.1 TH P.Án B.Thường'!$D25))-SUMIFS('9. Thu, chi PABT'!$U$11:$U$20001,'9. Thu, chi PABT'!$J$11:$J$20001,'4.1 TH P.Án B.Thường'!$F25,'9. Thu, chi PABT'!$K$11:$K$20001,'4.1 TH P.Án B.Thường'!$G25,'9. Thu, chi PABT'!$L$11:$L$20001,'4.1 TH P.Án B.Thường'!$H25,'9. Thu, chi PABT'!$M$11:$M$20001,'4.1 TH P.Án B.Thường'!$I25,'9. Thu, chi PABT'!$B$11:$B$20001,'4.1 TH P.Án B.Thường'!$B25,'9. Thu, chi PABT'!$F$11:$F$20001,'4.1 TH P.Án B.Thường'!$D25))</f>
        <v>0</v>
      </c>
      <c r="N25" s="98">
        <f>SUMIFS('9. Thu, chi PABT'!$T$11:$T$20001,'9. Thu, chi PABT'!$J$11:$J$20001,'4.1 TH P.Án B.Thường'!$F25,'9. Thu, chi PABT'!$K$11:$K$20001,'4.1 TH P.Án B.Thường'!$G25,'9. Thu, chi PABT'!$L$11:$L$20001,'4.1 TH P.Án B.Thường'!$H25,'9. Thu, chi PABT'!$M$11:$M$20001,'4.1 TH P.Án B.Thường'!$I25,'9. Thu, chi PABT'!$B$11:$B$20001,'4.1 TH P.Án B.Thường'!$B25,'9. Thu, chi PABT'!$F$11:$F$20001,'4.1 TH P.Án B.Thường'!$D25,'9. Thu, chi PABT'!$F$11:$F$20001,"&lt;&gt;"&amp;"Tạm ứng",'9. Thu, chi PABT'!$H$11:$H$20001,"&lt;&gt;"&amp;"Tạm ứng")-SUMIFS('9. Thu, chi PABT'!$U$11:$U$20001,'9. Thu, chi PABT'!$J$11:$J$20001,'4.1 TH P.Án B.Thường'!$F25,'9. Thu, chi PABT'!$K$11:$K$20001,'4.1 TH P.Án B.Thường'!$G25,'9. Thu, chi PABT'!$L$11:$L$20001,'4.1 TH P.Án B.Thường'!$H25,'9. Thu, chi PABT'!$M$11:$M$20001,'4.1 TH P.Án B.Thường'!$I25,'9. Thu, chi PABT'!$B$11:$B$20001,'4.1 TH P.Án B.Thường'!$B25,'9. Thu, chi PABT'!$F$11:$F$20001,'4.1 TH P.Án B.Thường'!$D25)</f>
        <v>0</v>
      </c>
      <c r="O25" s="125">
        <f t="shared" si="2"/>
        <v>0</v>
      </c>
      <c r="P25" s="125">
        <f t="shared" si="3"/>
        <v>0</v>
      </c>
      <c r="Q25" s="125">
        <f t="shared" si="4"/>
        <v>0</v>
      </c>
      <c r="R25" s="125">
        <f t="shared" si="5"/>
        <v>0</v>
      </c>
    </row>
    <row r="26" spans="1:18" x14ac:dyDescent="0.25">
      <c r="A26" s="7">
        <v>18</v>
      </c>
      <c r="B26" s="8"/>
      <c r="C26" s="9"/>
      <c r="D26" s="8"/>
      <c r="E26" s="9"/>
      <c r="F26" s="8"/>
      <c r="G26" s="8"/>
      <c r="H26" s="8"/>
      <c r="I26" s="8"/>
      <c r="J26" s="98">
        <f>SUMIFS('4. C.Tiết P.Án B.Thường'!$N$11:$N$20001,'4. C.Tiết P.Án B.Thường'!$J$11:$J$20001,'4.1 TH P.Án B.Thường'!$F26,'4. C.Tiết P.Án B.Thường'!$K$11:$K$20001,'4.1 TH P.Án B.Thường'!$G26,'4. C.Tiết P.Án B.Thường'!$L$11:$L$20001,'4.1 TH P.Án B.Thường'!$H26,'4. C.Tiết P.Án B.Thường'!$M$11:$M$20001,'4.1 TH P.Án B.Thường'!$I26,'4. C.Tiết P.Án B.Thường'!$B$11:$B$20001,'4.1 TH P.Án B.Thường'!$B26,'4. C.Tiết P.Án B.Thường'!$D$11:$D$20001,"&lt;&gt;"&amp;"tạm ứng",'4. C.Tiết P.Án B.Thường'!$F$11:$F$20001,IF('4.1 TH P.Án B.Thường'!$D26=0,"",'4.1 TH P.Án B.Thường'!$D26))</f>
        <v>0</v>
      </c>
      <c r="K26" s="98">
        <f>SUMIFS('4. C.Tiết P.Án B.Thường'!$O$11:$O$20001,'4. C.Tiết P.Án B.Thường'!$J$11:$J$20001,'4.1 TH P.Án B.Thường'!$F26,'4. C.Tiết P.Án B.Thường'!$K$11:$K$20001,'4.1 TH P.Án B.Thường'!$G26,'4. C.Tiết P.Án B.Thường'!$L$11:$L$20001,'4.1 TH P.Án B.Thường'!$H26,'4. C.Tiết P.Án B.Thường'!$M$11:$M$20001,'4.1 TH P.Án B.Thường'!$I26,'4. C.Tiết P.Án B.Thường'!$B$11:$B$20001,'4.1 TH P.Án B.Thường'!$B26,'4. C.Tiết P.Án B.Thường'!$F$11:$F$20001,'4.1 TH P.Án B.Thường'!$D26,'4. C.Tiết P.Án B.Thường'!$F$11:$F$20001,"&lt;&gt;"&amp;"Tạm ứng",'4. C.Tiết P.Án B.Thường'!$H$11:$H$20001,"&lt;&gt;"&amp;"Tạm ứng")</f>
        <v>0</v>
      </c>
      <c r="L26" s="125">
        <f t="shared" si="1"/>
        <v>0</v>
      </c>
      <c r="M26" s="98">
        <f>(SUMIFS('9. Thu, chi PABT'!$T$11:$T$20001,'9. Thu, chi PABT'!$J$11:$J$20001,'4.1 TH P.Án B.Thường'!$F26,'9. Thu, chi PABT'!$K$11:$K$20001,'4.1 TH P.Án B.Thường'!$G26,'9. Thu, chi PABT'!$L$11:$L$20001,'4.1 TH P.Án B.Thường'!$H26,'9. Thu, chi PABT'!$M$11:$M$20001,'4.1 TH P.Án B.Thường'!$I26,'9. Thu, chi PABT'!$B$11:$B$20001,'4.1 TH P.Án B.Thường'!$B26,'9. Thu, chi PABT'!$D$11:$D$20001,"&lt;&gt;"&amp;"Tạm ứng",'9. Thu, chi PABT'!$F$11:$F$20001,IF('4.1 TH P.Án B.Thường'!$D26=0,"",'4.1 TH P.Án B.Thường'!$D26),'9. Thu, chi PABT'!$H$11:$H$20001,"&lt;&gt;"&amp;"Tạm ứng")-SUMIFS('9. Thu, chi PABT'!$T$11:$T$20001,'9. Thu, chi PABT'!$J$11:$J$20001,'4.1 TH P.Án B.Thường'!$F26,'9. Thu, chi PABT'!$K$11:$K$20001,'4.1 TH P.Án B.Thường'!$G26,'9. Thu, chi PABT'!$L$11:$L$20001,'4.1 TH P.Án B.Thường'!$H26,'9. Thu, chi PABT'!$M$11:$M$20001,'4.1 TH P.Án B.Thường'!$I26,'9. Thu, chi PABT'!$B$11:$B$20001,'4.1 TH P.Án B.Thường'!$B26,'9. Thu, chi PABT'!$F$11:$F$20001,'4.1 TH P.Án B.Thường'!$D26,'9. Thu, chi PABT'!$F$11:$F$20001,"&lt;&gt;"&amp;"Tạm ứng",'9. Thu, chi PABT'!$H$11:$H$20001,"&lt;&gt;"&amp;"Tạm ứng"))-(SUMIFS('9. Thu, chi PABT'!$U$11:$U$20001,'9. Thu, chi PABT'!$J$11:$J$20001,'4.1 TH P.Án B.Thường'!$F26,'9. Thu, chi PABT'!$K$11:$K$20001,'4.1 TH P.Án B.Thường'!$G26,'9. Thu, chi PABT'!$L$11:$L$20001,'4.1 TH P.Án B.Thường'!$H26,'9. Thu, chi PABT'!$M$11:$M$20001,'4.1 TH P.Án B.Thường'!$I26,'9. Thu, chi PABT'!$B$11:$B$20001,'4.1 TH P.Án B.Thường'!$B26,'9. Thu, chi PABT'!$F$11:$F$20001,IF('4.1 TH P.Án B.Thường'!$D26=0,"",'4.1 TH P.Án B.Thường'!$D26))-SUMIFS('9. Thu, chi PABT'!$U$11:$U$20001,'9. Thu, chi PABT'!$J$11:$J$20001,'4.1 TH P.Án B.Thường'!$F26,'9. Thu, chi PABT'!$K$11:$K$20001,'4.1 TH P.Án B.Thường'!$G26,'9. Thu, chi PABT'!$L$11:$L$20001,'4.1 TH P.Án B.Thường'!$H26,'9. Thu, chi PABT'!$M$11:$M$20001,'4.1 TH P.Án B.Thường'!$I26,'9. Thu, chi PABT'!$B$11:$B$20001,'4.1 TH P.Án B.Thường'!$B26,'9. Thu, chi PABT'!$F$11:$F$20001,'4.1 TH P.Án B.Thường'!$D26))</f>
        <v>0</v>
      </c>
      <c r="N26" s="98">
        <f>SUMIFS('9. Thu, chi PABT'!$T$11:$T$20001,'9. Thu, chi PABT'!$J$11:$J$20001,'4.1 TH P.Án B.Thường'!$F26,'9. Thu, chi PABT'!$K$11:$K$20001,'4.1 TH P.Án B.Thường'!$G26,'9. Thu, chi PABT'!$L$11:$L$20001,'4.1 TH P.Án B.Thường'!$H26,'9. Thu, chi PABT'!$M$11:$M$20001,'4.1 TH P.Án B.Thường'!$I26,'9. Thu, chi PABT'!$B$11:$B$20001,'4.1 TH P.Án B.Thường'!$B26,'9. Thu, chi PABT'!$F$11:$F$20001,'4.1 TH P.Án B.Thường'!$D26,'9. Thu, chi PABT'!$F$11:$F$20001,"&lt;&gt;"&amp;"Tạm ứng",'9. Thu, chi PABT'!$H$11:$H$20001,"&lt;&gt;"&amp;"Tạm ứng")-SUMIFS('9. Thu, chi PABT'!$U$11:$U$20001,'9. Thu, chi PABT'!$J$11:$J$20001,'4.1 TH P.Án B.Thường'!$F26,'9. Thu, chi PABT'!$K$11:$K$20001,'4.1 TH P.Án B.Thường'!$G26,'9. Thu, chi PABT'!$L$11:$L$20001,'4.1 TH P.Án B.Thường'!$H26,'9. Thu, chi PABT'!$M$11:$M$20001,'4.1 TH P.Án B.Thường'!$I26,'9. Thu, chi PABT'!$B$11:$B$20001,'4.1 TH P.Án B.Thường'!$B26,'9. Thu, chi PABT'!$F$11:$F$20001,'4.1 TH P.Án B.Thường'!$D26)</f>
        <v>0</v>
      </c>
      <c r="O26" s="125">
        <f t="shared" si="2"/>
        <v>0</v>
      </c>
      <c r="P26" s="125">
        <f t="shared" si="3"/>
        <v>0</v>
      </c>
      <c r="Q26" s="125">
        <f t="shared" si="4"/>
        <v>0</v>
      </c>
      <c r="R26" s="125">
        <f t="shared" si="5"/>
        <v>0</v>
      </c>
    </row>
    <row r="27" spans="1:18" x14ac:dyDescent="0.25">
      <c r="A27" s="7">
        <v>19</v>
      </c>
      <c r="B27" s="8"/>
      <c r="C27" s="9"/>
      <c r="D27" s="8"/>
      <c r="E27" s="9"/>
      <c r="F27" s="8"/>
      <c r="G27" s="8"/>
      <c r="H27" s="8"/>
      <c r="I27" s="8"/>
      <c r="J27" s="98">
        <f>SUMIFS('4. C.Tiết P.Án B.Thường'!$N$11:$N$20001,'4. C.Tiết P.Án B.Thường'!$J$11:$J$20001,'4.1 TH P.Án B.Thường'!$F27,'4. C.Tiết P.Án B.Thường'!$K$11:$K$20001,'4.1 TH P.Án B.Thường'!$G27,'4. C.Tiết P.Án B.Thường'!$L$11:$L$20001,'4.1 TH P.Án B.Thường'!$H27,'4. C.Tiết P.Án B.Thường'!$M$11:$M$20001,'4.1 TH P.Án B.Thường'!$I27,'4. C.Tiết P.Án B.Thường'!$B$11:$B$20001,'4.1 TH P.Án B.Thường'!$B27,'4. C.Tiết P.Án B.Thường'!$D$11:$D$20001,"&lt;&gt;"&amp;"tạm ứng",'4. C.Tiết P.Án B.Thường'!$F$11:$F$20001,IF('4.1 TH P.Án B.Thường'!$D27=0,"",'4.1 TH P.Án B.Thường'!$D27))</f>
        <v>0</v>
      </c>
      <c r="K27" s="98">
        <f>SUMIFS('4. C.Tiết P.Án B.Thường'!$O$11:$O$20001,'4. C.Tiết P.Án B.Thường'!$J$11:$J$20001,'4.1 TH P.Án B.Thường'!$F27,'4. C.Tiết P.Án B.Thường'!$K$11:$K$20001,'4.1 TH P.Án B.Thường'!$G27,'4. C.Tiết P.Án B.Thường'!$L$11:$L$20001,'4.1 TH P.Án B.Thường'!$H27,'4. C.Tiết P.Án B.Thường'!$M$11:$M$20001,'4.1 TH P.Án B.Thường'!$I27,'4. C.Tiết P.Án B.Thường'!$B$11:$B$20001,'4.1 TH P.Án B.Thường'!$B27,'4. C.Tiết P.Án B.Thường'!$F$11:$F$20001,'4.1 TH P.Án B.Thường'!$D27,'4. C.Tiết P.Án B.Thường'!$F$11:$F$20001,"&lt;&gt;"&amp;"Tạm ứng",'4. C.Tiết P.Án B.Thường'!$H$11:$H$20001,"&lt;&gt;"&amp;"Tạm ứng")</f>
        <v>0</v>
      </c>
      <c r="L27" s="125">
        <f t="shared" si="1"/>
        <v>0</v>
      </c>
      <c r="M27" s="98">
        <f>(SUMIFS('9. Thu, chi PABT'!$T$11:$T$20001,'9. Thu, chi PABT'!$J$11:$J$20001,'4.1 TH P.Án B.Thường'!$F27,'9. Thu, chi PABT'!$K$11:$K$20001,'4.1 TH P.Án B.Thường'!$G27,'9. Thu, chi PABT'!$L$11:$L$20001,'4.1 TH P.Án B.Thường'!$H27,'9. Thu, chi PABT'!$M$11:$M$20001,'4.1 TH P.Án B.Thường'!$I27,'9. Thu, chi PABT'!$B$11:$B$20001,'4.1 TH P.Án B.Thường'!$B27,'9. Thu, chi PABT'!$D$11:$D$20001,"&lt;&gt;"&amp;"Tạm ứng",'9. Thu, chi PABT'!$F$11:$F$20001,IF('4.1 TH P.Án B.Thường'!$D27=0,"",'4.1 TH P.Án B.Thường'!$D27),'9. Thu, chi PABT'!$H$11:$H$20001,"&lt;&gt;"&amp;"Tạm ứng")-SUMIFS('9. Thu, chi PABT'!$T$11:$T$20001,'9. Thu, chi PABT'!$J$11:$J$20001,'4.1 TH P.Án B.Thường'!$F27,'9. Thu, chi PABT'!$K$11:$K$20001,'4.1 TH P.Án B.Thường'!$G27,'9. Thu, chi PABT'!$L$11:$L$20001,'4.1 TH P.Án B.Thường'!$H27,'9. Thu, chi PABT'!$M$11:$M$20001,'4.1 TH P.Án B.Thường'!$I27,'9. Thu, chi PABT'!$B$11:$B$20001,'4.1 TH P.Án B.Thường'!$B27,'9. Thu, chi PABT'!$F$11:$F$20001,'4.1 TH P.Án B.Thường'!$D27,'9. Thu, chi PABT'!$F$11:$F$20001,"&lt;&gt;"&amp;"Tạm ứng",'9. Thu, chi PABT'!$H$11:$H$20001,"&lt;&gt;"&amp;"Tạm ứng"))-(SUMIFS('9. Thu, chi PABT'!$U$11:$U$20001,'9. Thu, chi PABT'!$J$11:$J$20001,'4.1 TH P.Án B.Thường'!$F27,'9. Thu, chi PABT'!$K$11:$K$20001,'4.1 TH P.Án B.Thường'!$G27,'9. Thu, chi PABT'!$L$11:$L$20001,'4.1 TH P.Án B.Thường'!$H27,'9. Thu, chi PABT'!$M$11:$M$20001,'4.1 TH P.Án B.Thường'!$I27,'9. Thu, chi PABT'!$B$11:$B$20001,'4.1 TH P.Án B.Thường'!$B27,'9. Thu, chi PABT'!$F$11:$F$20001,IF('4.1 TH P.Án B.Thường'!$D27=0,"",'4.1 TH P.Án B.Thường'!$D27))-SUMIFS('9. Thu, chi PABT'!$U$11:$U$20001,'9. Thu, chi PABT'!$J$11:$J$20001,'4.1 TH P.Án B.Thường'!$F27,'9. Thu, chi PABT'!$K$11:$K$20001,'4.1 TH P.Án B.Thường'!$G27,'9. Thu, chi PABT'!$L$11:$L$20001,'4.1 TH P.Án B.Thường'!$H27,'9. Thu, chi PABT'!$M$11:$M$20001,'4.1 TH P.Án B.Thường'!$I27,'9. Thu, chi PABT'!$B$11:$B$20001,'4.1 TH P.Án B.Thường'!$B27,'9. Thu, chi PABT'!$F$11:$F$20001,'4.1 TH P.Án B.Thường'!$D27))</f>
        <v>0</v>
      </c>
      <c r="N27" s="98">
        <f>SUMIFS('9. Thu, chi PABT'!$T$11:$T$20001,'9. Thu, chi PABT'!$J$11:$J$20001,'4.1 TH P.Án B.Thường'!$F27,'9. Thu, chi PABT'!$K$11:$K$20001,'4.1 TH P.Án B.Thường'!$G27,'9. Thu, chi PABT'!$L$11:$L$20001,'4.1 TH P.Án B.Thường'!$H27,'9. Thu, chi PABT'!$M$11:$M$20001,'4.1 TH P.Án B.Thường'!$I27,'9. Thu, chi PABT'!$B$11:$B$20001,'4.1 TH P.Án B.Thường'!$B27,'9. Thu, chi PABT'!$F$11:$F$20001,'4.1 TH P.Án B.Thường'!$D27,'9. Thu, chi PABT'!$F$11:$F$20001,"&lt;&gt;"&amp;"Tạm ứng",'9. Thu, chi PABT'!$H$11:$H$20001,"&lt;&gt;"&amp;"Tạm ứng")-SUMIFS('9. Thu, chi PABT'!$U$11:$U$20001,'9. Thu, chi PABT'!$J$11:$J$20001,'4.1 TH P.Án B.Thường'!$F27,'9. Thu, chi PABT'!$K$11:$K$20001,'4.1 TH P.Án B.Thường'!$G27,'9. Thu, chi PABT'!$L$11:$L$20001,'4.1 TH P.Án B.Thường'!$H27,'9. Thu, chi PABT'!$M$11:$M$20001,'4.1 TH P.Án B.Thường'!$I27,'9. Thu, chi PABT'!$B$11:$B$20001,'4.1 TH P.Án B.Thường'!$B27,'9. Thu, chi PABT'!$F$11:$F$20001,'4.1 TH P.Án B.Thường'!$D27)</f>
        <v>0</v>
      </c>
      <c r="O27" s="125">
        <f t="shared" si="2"/>
        <v>0</v>
      </c>
      <c r="P27" s="125">
        <f t="shared" si="3"/>
        <v>0</v>
      </c>
      <c r="Q27" s="125">
        <f t="shared" si="4"/>
        <v>0</v>
      </c>
      <c r="R27" s="125">
        <f t="shared" si="5"/>
        <v>0</v>
      </c>
    </row>
    <row r="28" spans="1:18" x14ac:dyDescent="0.25">
      <c r="A28" s="7">
        <v>20</v>
      </c>
      <c r="B28" s="8"/>
      <c r="C28" s="9"/>
      <c r="D28" s="8"/>
      <c r="E28" s="9"/>
      <c r="F28" s="8"/>
      <c r="G28" s="8"/>
      <c r="H28" s="8"/>
      <c r="I28" s="8"/>
      <c r="J28" s="98">
        <f>SUMIFS('4. C.Tiết P.Án B.Thường'!$N$11:$N$20001,'4. C.Tiết P.Án B.Thường'!$J$11:$J$20001,'4.1 TH P.Án B.Thường'!$F28,'4. C.Tiết P.Án B.Thường'!$K$11:$K$20001,'4.1 TH P.Án B.Thường'!$G28,'4. C.Tiết P.Án B.Thường'!$L$11:$L$20001,'4.1 TH P.Án B.Thường'!$H28,'4. C.Tiết P.Án B.Thường'!$M$11:$M$20001,'4.1 TH P.Án B.Thường'!$I28,'4. C.Tiết P.Án B.Thường'!$B$11:$B$20001,'4.1 TH P.Án B.Thường'!$B28,'4. C.Tiết P.Án B.Thường'!$D$11:$D$20001,"&lt;&gt;"&amp;"tạm ứng",'4. C.Tiết P.Án B.Thường'!$F$11:$F$20001,IF('4.1 TH P.Án B.Thường'!$D28=0,"",'4.1 TH P.Án B.Thường'!$D28))</f>
        <v>0</v>
      </c>
      <c r="K28" s="98">
        <f>SUMIFS('4. C.Tiết P.Án B.Thường'!$O$11:$O$20001,'4. C.Tiết P.Án B.Thường'!$J$11:$J$20001,'4.1 TH P.Án B.Thường'!$F28,'4. C.Tiết P.Án B.Thường'!$K$11:$K$20001,'4.1 TH P.Án B.Thường'!$G28,'4. C.Tiết P.Án B.Thường'!$L$11:$L$20001,'4.1 TH P.Án B.Thường'!$H28,'4. C.Tiết P.Án B.Thường'!$M$11:$M$20001,'4.1 TH P.Án B.Thường'!$I28,'4. C.Tiết P.Án B.Thường'!$B$11:$B$20001,'4.1 TH P.Án B.Thường'!$B28,'4. C.Tiết P.Án B.Thường'!$F$11:$F$20001,'4.1 TH P.Án B.Thường'!$D28,'4. C.Tiết P.Án B.Thường'!$F$11:$F$20001,"&lt;&gt;"&amp;"Tạm ứng",'4. C.Tiết P.Án B.Thường'!$H$11:$H$20001,"&lt;&gt;"&amp;"Tạm ứng")</f>
        <v>0</v>
      </c>
      <c r="L28" s="125">
        <f t="shared" si="1"/>
        <v>0</v>
      </c>
      <c r="M28" s="98">
        <f>(SUMIFS('9. Thu, chi PABT'!$T$11:$T$20001,'9. Thu, chi PABT'!$J$11:$J$20001,'4.1 TH P.Án B.Thường'!$F28,'9. Thu, chi PABT'!$K$11:$K$20001,'4.1 TH P.Án B.Thường'!$G28,'9. Thu, chi PABT'!$L$11:$L$20001,'4.1 TH P.Án B.Thường'!$H28,'9. Thu, chi PABT'!$M$11:$M$20001,'4.1 TH P.Án B.Thường'!$I28,'9. Thu, chi PABT'!$B$11:$B$20001,'4.1 TH P.Án B.Thường'!$B28,'9. Thu, chi PABT'!$D$11:$D$20001,"&lt;&gt;"&amp;"Tạm ứng",'9. Thu, chi PABT'!$F$11:$F$20001,IF('4.1 TH P.Án B.Thường'!$D28=0,"",'4.1 TH P.Án B.Thường'!$D28),'9. Thu, chi PABT'!$H$11:$H$20001,"&lt;&gt;"&amp;"Tạm ứng")-SUMIFS('9. Thu, chi PABT'!$T$11:$T$20001,'9. Thu, chi PABT'!$J$11:$J$20001,'4.1 TH P.Án B.Thường'!$F28,'9. Thu, chi PABT'!$K$11:$K$20001,'4.1 TH P.Án B.Thường'!$G28,'9. Thu, chi PABT'!$L$11:$L$20001,'4.1 TH P.Án B.Thường'!$H28,'9. Thu, chi PABT'!$M$11:$M$20001,'4.1 TH P.Án B.Thường'!$I28,'9. Thu, chi PABT'!$B$11:$B$20001,'4.1 TH P.Án B.Thường'!$B28,'9. Thu, chi PABT'!$F$11:$F$20001,'4.1 TH P.Án B.Thường'!$D28,'9. Thu, chi PABT'!$F$11:$F$20001,"&lt;&gt;"&amp;"Tạm ứng",'9. Thu, chi PABT'!$H$11:$H$20001,"&lt;&gt;"&amp;"Tạm ứng"))-(SUMIFS('9. Thu, chi PABT'!$U$11:$U$20001,'9. Thu, chi PABT'!$J$11:$J$20001,'4.1 TH P.Án B.Thường'!$F28,'9. Thu, chi PABT'!$K$11:$K$20001,'4.1 TH P.Án B.Thường'!$G28,'9. Thu, chi PABT'!$L$11:$L$20001,'4.1 TH P.Án B.Thường'!$H28,'9. Thu, chi PABT'!$M$11:$M$20001,'4.1 TH P.Án B.Thường'!$I28,'9. Thu, chi PABT'!$B$11:$B$20001,'4.1 TH P.Án B.Thường'!$B28,'9. Thu, chi PABT'!$F$11:$F$20001,IF('4.1 TH P.Án B.Thường'!$D28=0,"",'4.1 TH P.Án B.Thường'!$D28))-SUMIFS('9. Thu, chi PABT'!$U$11:$U$20001,'9. Thu, chi PABT'!$J$11:$J$20001,'4.1 TH P.Án B.Thường'!$F28,'9. Thu, chi PABT'!$K$11:$K$20001,'4.1 TH P.Án B.Thường'!$G28,'9. Thu, chi PABT'!$L$11:$L$20001,'4.1 TH P.Án B.Thường'!$H28,'9. Thu, chi PABT'!$M$11:$M$20001,'4.1 TH P.Án B.Thường'!$I28,'9. Thu, chi PABT'!$B$11:$B$20001,'4.1 TH P.Án B.Thường'!$B28,'9. Thu, chi PABT'!$F$11:$F$20001,'4.1 TH P.Án B.Thường'!$D28))</f>
        <v>0</v>
      </c>
      <c r="N28" s="98">
        <f>SUMIFS('9. Thu, chi PABT'!$T$11:$T$20001,'9. Thu, chi PABT'!$J$11:$J$20001,'4.1 TH P.Án B.Thường'!$F28,'9. Thu, chi PABT'!$K$11:$K$20001,'4.1 TH P.Án B.Thường'!$G28,'9. Thu, chi PABT'!$L$11:$L$20001,'4.1 TH P.Án B.Thường'!$H28,'9. Thu, chi PABT'!$M$11:$M$20001,'4.1 TH P.Án B.Thường'!$I28,'9. Thu, chi PABT'!$B$11:$B$20001,'4.1 TH P.Án B.Thường'!$B28,'9. Thu, chi PABT'!$F$11:$F$20001,'4.1 TH P.Án B.Thường'!$D28,'9. Thu, chi PABT'!$F$11:$F$20001,"&lt;&gt;"&amp;"Tạm ứng",'9. Thu, chi PABT'!$H$11:$H$20001,"&lt;&gt;"&amp;"Tạm ứng")-SUMIFS('9. Thu, chi PABT'!$U$11:$U$20001,'9. Thu, chi PABT'!$J$11:$J$20001,'4.1 TH P.Án B.Thường'!$F28,'9. Thu, chi PABT'!$K$11:$K$20001,'4.1 TH P.Án B.Thường'!$G28,'9. Thu, chi PABT'!$L$11:$L$20001,'4.1 TH P.Án B.Thường'!$H28,'9. Thu, chi PABT'!$M$11:$M$20001,'4.1 TH P.Án B.Thường'!$I28,'9. Thu, chi PABT'!$B$11:$B$20001,'4.1 TH P.Án B.Thường'!$B28,'9. Thu, chi PABT'!$F$11:$F$20001,'4.1 TH P.Án B.Thường'!$D28)</f>
        <v>0</v>
      </c>
      <c r="O28" s="125">
        <f t="shared" si="2"/>
        <v>0</v>
      </c>
      <c r="P28" s="125">
        <f t="shared" si="3"/>
        <v>0</v>
      </c>
      <c r="Q28" s="125">
        <f t="shared" si="4"/>
        <v>0</v>
      </c>
      <c r="R28" s="125">
        <f t="shared" si="5"/>
        <v>0</v>
      </c>
    </row>
    <row r="29" spans="1:18" x14ac:dyDescent="0.25">
      <c r="J29" s="96"/>
      <c r="K29" s="96"/>
      <c r="L29" s="96"/>
      <c r="M29" s="96"/>
    </row>
    <row r="30" spans="1:18" x14ac:dyDescent="0.25">
      <c r="J30" s="96"/>
      <c r="K30" s="96"/>
      <c r="L30" s="96"/>
      <c r="M30" s="96"/>
    </row>
  </sheetData>
  <mergeCells count="10">
    <mergeCell ref="A1:F1"/>
    <mergeCell ref="A2:F2"/>
    <mergeCell ref="A6:A7"/>
    <mergeCell ref="B6:C6"/>
    <mergeCell ref="F6:I6"/>
    <mergeCell ref="A4:R4"/>
    <mergeCell ref="J6:L6"/>
    <mergeCell ref="D6:E6"/>
    <mergeCell ref="M6:O6"/>
    <mergeCell ref="P6:R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C868-6FA6-420D-B718-321390C6891E}">
  <dimension ref="A1:U35"/>
  <sheetViews>
    <sheetView zoomScale="90" zoomScaleNormal="90" workbookViewId="0">
      <selection activeCell="I10" sqref="I10"/>
    </sheetView>
  </sheetViews>
  <sheetFormatPr defaultColWidth="8.85546875" defaultRowHeight="15" x14ac:dyDescent="0.25"/>
  <cols>
    <col min="1" max="1" width="6.28515625" style="87" customWidth="1"/>
    <col min="2" max="2" width="10.7109375" style="89" customWidth="1"/>
    <col min="3" max="3" width="16.85546875" style="89" customWidth="1"/>
    <col min="4" max="6" width="11.5703125" style="89" customWidth="1"/>
    <col min="7" max="9" width="13" style="87" customWidth="1"/>
    <col min="10" max="10" width="16.140625" style="87" customWidth="1"/>
    <col min="11" max="17" width="13" style="87" customWidth="1"/>
    <col min="18" max="18" width="8.85546875" style="87"/>
    <col min="19" max="19" width="70.28515625" style="87" bestFit="1" customWidth="1"/>
    <col min="20" max="20" width="8.85546875" style="87"/>
    <col min="21" max="21" width="12.7109375" style="87" customWidth="1"/>
    <col min="22" max="16384" width="8.85546875" style="87"/>
  </cols>
  <sheetData>
    <row r="1" spans="1:21" x14ac:dyDescent="0.25">
      <c r="A1" s="169" t="s">
        <v>9</v>
      </c>
      <c r="B1" s="169"/>
      <c r="C1" s="169"/>
      <c r="D1" s="169"/>
      <c r="E1" s="169"/>
      <c r="F1" s="52"/>
      <c r="G1" s="13"/>
      <c r="H1" s="13"/>
      <c r="I1" s="50"/>
      <c r="J1" s="50"/>
      <c r="K1" s="50"/>
      <c r="L1" s="50"/>
      <c r="M1" s="50"/>
      <c r="N1" s="50"/>
      <c r="O1" s="50"/>
      <c r="P1" s="50"/>
      <c r="Q1" s="50"/>
      <c r="R1" s="50"/>
      <c r="S1" s="50"/>
      <c r="T1" s="50"/>
      <c r="U1" s="50"/>
    </row>
    <row r="2" spans="1:21" x14ac:dyDescent="0.25">
      <c r="A2" s="169" t="s">
        <v>10</v>
      </c>
      <c r="B2" s="169"/>
      <c r="C2" s="169"/>
      <c r="D2" s="169"/>
      <c r="E2" s="169"/>
      <c r="F2" s="52"/>
      <c r="G2" s="13"/>
      <c r="H2" s="13"/>
      <c r="I2" s="50"/>
      <c r="J2" s="50"/>
      <c r="K2" s="50"/>
      <c r="L2" s="50"/>
      <c r="M2" s="50"/>
      <c r="N2" s="50"/>
      <c r="O2" s="50"/>
      <c r="P2" s="50"/>
      <c r="Q2" s="50"/>
      <c r="R2" s="50"/>
      <c r="S2" s="50"/>
      <c r="T2" s="50"/>
      <c r="U2" s="50"/>
    </row>
    <row r="3" spans="1:21" x14ac:dyDescent="0.25">
      <c r="A3" s="16"/>
      <c r="B3" s="13"/>
      <c r="C3" s="13"/>
      <c r="D3" s="26"/>
      <c r="E3" s="69"/>
      <c r="F3" s="52"/>
      <c r="G3" s="13"/>
      <c r="H3" s="13"/>
      <c r="I3" s="50"/>
      <c r="J3" s="50"/>
      <c r="K3" s="50"/>
      <c r="L3" s="50"/>
      <c r="M3" s="50"/>
      <c r="N3" s="50"/>
      <c r="O3" s="50"/>
      <c r="P3" s="50"/>
      <c r="Q3" s="50"/>
      <c r="R3" s="50"/>
      <c r="S3" s="50"/>
      <c r="T3" s="50"/>
      <c r="U3" s="50"/>
    </row>
    <row r="4" spans="1:21" ht="13.9" customHeight="1" x14ac:dyDescent="0.25">
      <c r="A4" s="169" t="s">
        <v>269</v>
      </c>
      <c r="B4" s="169"/>
      <c r="C4" s="169"/>
      <c r="D4" s="169"/>
      <c r="E4" s="169"/>
      <c r="F4" s="169"/>
      <c r="G4" s="169"/>
      <c r="H4" s="169"/>
      <c r="I4" s="169"/>
      <c r="J4" s="169"/>
      <c r="K4" s="169"/>
      <c r="L4" s="169"/>
      <c r="M4" s="169"/>
      <c r="N4" s="169"/>
      <c r="O4" s="169"/>
      <c r="P4" s="169"/>
      <c r="Q4" s="169"/>
      <c r="R4" s="43"/>
      <c r="S4" s="43"/>
      <c r="T4" s="43"/>
      <c r="U4" s="43"/>
    </row>
    <row r="5" spans="1:21" ht="13.9" customHeight="1" x14ac:dyDescent="0.25">
      <c r="A5" s="13"/>
      <c r="B5" s="13"/>
      <c r="C5" s="154" t="s">
        <v>297</v>
      </c>
      <c r="D5" s="155">
        <v>45437</v>
      </c>
      <c r="E5" s="13"/>
      <c r="F5" s="13"/>
      <c r="G5" s="13"/>
      <c r="H5" s="13"/>
      <c r="I5" s="13"/>
      <c r="J5" s="13"/>
      <c r="K5" s="13"/>
      <c r="L5" s="13"/>
      <c r="M5" s="13"/>
      <c r="N5" s="13"/>
      <c r="O5" s="13"/>
      <c r="P5" s="13"/>
      <c r="Q5" s="13"/>
      <c r="R5" s="43"/>
      <c r="S5" s="43"/>
      <c r="T5" s="43"/>
      <c r="U5" s="43"/>
    </row>
    <row r="6" spans="1:21" x14ac:dyDescent="0.25">
      <c r="C6" s="156" t="s">
        <v>298</v>
      </c>
      <c r="D6" s="157">
        <v>45437</v>
      </c>
    </row>
    <row r="7" spans="1:21" ht="13.9" customHeight="1" x14ac:dyDescent="0.25">
      <c r="A7" s="174" t="s">
        <v>40</v>
      </c>
      <c r="B7" s="175"/>
      <c r="C7" s="175"/>
      <c r="D7" s="175"/>
      <c r="E7" s="175"/>
      <c r="F7" s="183"/>
      <c r="G7" s="185" t="s">
        <v>137</v>
      </c>
      <c r="H7" s="185"/>
      <c r="I7" s="185"/>
      <c r="J7" s="174" t="s">
        <v>103</v>
      </c>
      <c r="K7" s="175"/>
      <c r="L7" s="175"/>
      <c r="M7" s="175"/>
      <c r="N7" s="175"/>
      <c r="O7" s="175"/>
      <c r="P7" s="175"/>
      <c r="Q7" s="183"/>
    </row>
    <row r="8" spans="1:21" ht="51" x14ac:dyDescent="0.25">
      <c r="A8" s="8" t="s">
        <v>0</v>
      </c>
      <c r="B8" s="164" t="s">
        <v>200</v>
      </c>
      <c r="C8" s="165" t="s">
        <v>36</v>
      </c>
      <c r="D8" s="165" t="s">
        <v>133</v>
      </c>
      <c r="E8" s="164" t="s">
        <v>154</v>
      </c>
      <c r="F8" s="164" t="s">
        <v>82</v>
      </c>
      <c r="G8" s="161" t="s">
        <v>261</v>
      </c>
      <c r="H8" s="161" t="s">
        <v>262</v>
      </c>
      <c r="I8" s="161" t="s">
        <v>268</v>
      </c>
      <c r="J8" s="98" t="s">
        <v>271</v>
      </c>
      <c r="K8" s="98" t="s">
        <v>272</v>
      </c>
      <c r="L8" s="98" t="s">
        <v>270</v>
      </c>
      <c r="M8" s="98" t="s">
        <v>273</v>
      </c>
      <c r="N8" s="98" t="s">
        <v>274</v>
      </c>
      <c r="O8" s="98" t="s">
        <v>275</v>
      </c>
      <c r="P8" s="98" t="s">
        <v>282</v>
      </c>
      <c r="Q8" s="98" t="s">
        <v>283</v>
      </c>
      <c r="S8" s="153"/>
    </row>
    <row r="9" spans="1:21" x14ac:dyDescent="0.25">
      <c r="A9" s="7">
        <f>IF(B9&lt;&gt;"",ROW(A9)-8,"")</f>
        <v>1</v>
      </c>
      <c r="B9" s="166" t="str" cm="1">
        <f t="array" ref="B9:F13">_xlfn.UNIQUE(_xlfn.VSTACK(_xlfn.HSTACK(_xlfn._xlws.FILTER('4. C.Tiết P.Án B.Thường'!$B$11:$B$33,('4. C.Tiết P.Án B.Thường'!$C$11:$C$33&lt;='TH P.Án B.Thường'!$D$6)*('4. C.Tiết P.Án B.Thường'!$D$11:$D$33="")*('4. C.Tiết P.Án B.Thường'!$F$11:$F$33="")),_xlfn._xlws.FILTER('4. C.Tiết P.Án B.Thường'!$J$11:$M$33,('4. C.Tiết P.Án B.Thường'!$C$11:$C$33&lt;='TH P.Án B.Thường'!$D$6)*('4. C.Tiết P.Án B.Thường'!$D$11:$D$33="")*('4. C.Tiết P.Án B.Thường'!$F$11:$F$33=""))),_xlfn.HSTACK(_xlfn._xlws.FILTER('4. C.Tiết P.Án B.Thường'!$B$11:$B$33,('4. C.Tiết P.Án B.Thường'!$E$11:$E$33&lt;='TH P.Án B.Thường'!$D$6)*('4. C.Tiết P.Án B.Thường'!$E$11:$E$33&lt;&gt;"")*('4. C.Tiết P.Án B.Thường'!$F$11:$F$33="")),_xlfn._xlws.FILTER('4. C.Tiết P.Án B.Thường'!$J$11:$M$33,('4. C.Tiết P.Án B.Thường'!$E$11:$E$33&lt;='TH P.Án B.Thường'!$D$6)*('4. C.Tiết P.Án B.Thường'!$E$11:$E$33&lt;&gt;"")*('4. C.Tiết P.Án B.Thường'!$F$11:$F$33=""))),_xlfn.HSTACK(_xlfn._xlws.FILTER('9. Thu, chi PABT'!$B$11:$B$33,('9. Thu, chi PABT'!$F$11:$F$33="")*('9. Thu, chi PABT'!$R$11:$R$33&lt;'TH P.Án B.Thường'!$D$6)),_xlfn._xlws.FILTER('9. Thu, chi PABT'!$J$11:$M$33,('9. Thu, chi PABT'!$F$11:$F$33="")*('9. Thu, chi PABT'!$R$11:$R$33&lt;'TH P.Án B.Thường'!$D$6)))))</f>
        <v>Tạm ứng</v>
      </c>
      <c r="C9" s="166" t="str">
        <v>Nguyễn Đức Anh</v>
      </c>
      <c r="D9" s="166" t="str">
        <v>Tiên Cát</v>
      </c>
      <c r="E9" s="166" t="str">
        <v>Minh Hà</v>
      </c>
      <c r="F9" s="166" t="str">
        <v>123A</v>
      </c>
      <c r="G9" s="162">
        <f>SUMIFS('4. C.Tiết P.Án B.Thường'!$N$11:$N$33,'4. C.Tiết P.Án B.Thường'!$B$11:$B$33,'TH P.Án B.Thường'!B9,'4. C.Tiết P.Án B.Thường'!$J$11:$J$33,'TH P.Án B.Thường'!C9,'4. C.Tiết P.Án B.Thường'!$K$11:$K$33,'TH P.Án B.Thường'!D9,'4. C.Tiết P.Án B.Thường'!$L$11:$L$33,'TH P.Án B.Thường'!E9,'4. C.Tiết P.Án B.Thường'!$M$11:$M$33,'TH P.Án B.Thường'!F9,'4. C.Tiết P.Án B.Thường'!$C$11:$C$33,"&lt;"&amp;'TH P.Án B.Thường'!$D$5,'4. C.Tiết P.Án B.Thường'!$D$11:$D$33,"",'4. C.Tiết P.Án B.Thường'!$F$11:$F$33,"")+SUMIFS('4. C.Tiết P.Án B.Thường'!$N$11:$N$33,'4. C.Tiết P.Án B.Thường'!$B$11:$B$33,'TH P.Án B.Thường'!B9,'4. C.Tiết P.Án B.Thường'!$J$11:$J$33,'TH P.Án B.Thường'!C9,'4. C.Tiết P.Án B.Thường'!$K$11:$K$33,'TH P.Án B.Thường'!D9,'4. C.Tiết P.Án B.Thường'!$L$11:$L$33,'TH P.Án B.Thường'!E9,'4. C.Tiết P.Án B.Thường'!$M$11:$M$33,'TH P.Án B.Thường'!F9,'4. C.Tiết P.Án B.Thường'!$E$11:$E$33,"&lt;"&amp;'TH P.Án B.Thường'!$D$5,'4. C.Tiết P.Án B.Thường'!$D$11:$D$33,"&lt;&gt;"&amp;"",'4. C.Tiết P.Án B.Thường'!$F$11:$F$33,"")</f>
        <v>100000000</v>
      </c>
      <c r="H9" s="162">
        <f>SUMIFS('4. C.Tiết P.Án B.Thường'!$N$11:$N$33,'4. C.Tiết P.Án B.Thường'!$B$11:$B$33,'TH P.Án B.Thường'!B9,'4. C.Tiết P.Án B.Thường'!$J$11:$J$33,'TH P.Án B.Thường'!C9,'4. C.Tiết P.Án B.Thường'!$K$11:$K$33,'TH P.Án B.Thường'!D9,'4. C.Tiết P.Án B.Thường'!$L$11:$L$33,'TH P.Án B.Thường'!E9,'4. C.Tiết P.Án B.Thường'!$M$11:$M$33,'TH P.Án B.Thường'!F9,'4. C.Tiết P.Án B.Thường'!$C$11:$C$33,"&gt;="&amp;'TH P.Án B.Thường'!$D$5,'4. C.Tiết P.Án B.Thường'!$C$11:$C$33,"&lt;="&amp;'TH P.Án B.Thường'!$D$6,'4. C.Tiết P.Án B.Thường'!$D$11:$D$33,"",'4. C.Tiết P.Án B.Thường'!$F$11:$F$33,"")+SUMIFS('4. C.Tiết P.Án B.Thường'!$N$11:$N$33,'4. C.Tiết P.Án B.Thường'!$B$11:$B$33,'TH P.Án B.Thường'!B9,'4. C.Tiết P.Án B.Thường'!$J$11:$J$33,'TH P.Án B.Thường'!C9,'4. C.Tiết P.Án B.Thường'!$K$11:$K$33,'TH P.Án B.Thường'!D9,'4. C.Tiết P.Án B.Thường'!$L$11:$L$33,'TH P.Án B.Thường'!E9,'4. C.Tiết P.Án B.Thường'!$M$11:$M$33,'TH P.Án B.Thường'!F9,'4. C.Tiết P.Án B.Thường'!$E$11:$E$33,"&gt;="&amp;'TH P.Án B.Thường'!$D$5,'4. C.Tiết P.Án B.Thường'!$E$11:$E$33,"&lt;="&amp;'TH P.Án B.Thường'!$D$6,'4. C.Tiết P.Án B.Thường'!$D$11:$D$33,"&lt;&gt;"&amp;"",'4. C.Tiết P.Án B.Thường'!$F$11:$F$33,"")</f>
        <v>0</v>
      </c>
      <c r="I9" s="163">
        <f>G9+H9</f>
        <v>100000000</v>
      </c>
      <c r="J9" s="39">
        <f>SUMIFS('9. Thu, chi PABT'!$T$11:$T$33,'9. Thu, chi PABT'!$B$11:$B$33,'TH P.Án B.Thường'!B9,'9. Thu, chi PABT'!$J$11:$J$33,'TH P.Án B.Thường'!C9,'9. Thu, chi PABT'!$K$11:$K$33,'TH P.Án B.Thường'!D9,'9. Thu, chi PABT'!$L$11:$L$33,'TH P.Án B.Thường'!E9,'9. Thu, chi PABT'!$M$11:$M$33,'TH P.Án B.Thường'!F9,'9. Thu, chi PABT'!$R$11:$R$33,"&lt;"&amp;'TH P.Án B.Thường'!$D$5,'9. Thu, chi PABT'!$F$11:$F$33,"")</f>
        <v>100000000</v>
      </c>
      <c r="K9" s="39">
        <f>SUMIFS('9. Thu, chi PABT'!$U$11:$U$33,'9. Thu, chi PABT'!$B$11:$B$33,'TH P.Án B.Thường'!B9,'9. Thu, chi PABT'!$J$11:$J$33,'TH P.Án B.Thường'!C9,'9. Thu, chi PABT'!$K$11:$K$33,'TH P.Án B.Thường'!D9,'9. Thu, chi PABT'!$L$11:$L$33,'TH P.Án B.Thường'!E9,'9. Thu, chi PABT'!$M$11:$M$33,'TH P.Án B.Thường'!F9,'9. Thu, chi PABT'!$R$11:$R$33,"&lt;"&amp;'TH P.Án B.Thường'!$D$5,'9. Thu, chi PABT'!$F$11:$F$33,"")</f>
        <v>0</v>
      </c>
      <c r="L9" s="41">
        <f>J9-K9</f>
        <v>100000000</v>
      </c>
      <c r="M9" s="39">
        <f>SUMIFS('9. Thu, chi PABT'!$T$11:$T$33,'9. Thu, chi PABT'!$B$11:$B$33,'TH P.Án B.Thường'!B9,'9. Thu, chi PABT'!$J$11:$J$33,'TH P.Án B.Thường'!C9,'9. Thu, chi PABT'!$K$11:$K$33,'TH P.Án B.Thường'!D9,'9. Thu, chi PABT'!$L$11:$L$33,'TH P.Án B.Thường'!E9,'9. Thu, chi PABT'!$M$11:$M$33,'TH P.Án B.Thường'!F9,'9. Thu, chi PABT'!$R$11:$R$33,"&gt;="&amp;'TH P.Án B.Thường'!$D$5,'9. Thu, chi PABT'!$R$11:$R$33,"&lt;="&amp;'TH P.Án B.Thường'!$D$6,'9. Thu, chi PABT'!$F$11:$F$33,"")</f>
        <v>0</v>
      </c>
      <c r="N9" s="39">
        <f>SUMIFS('9. Thu, chi PABT'!$U$11:$U$33,'9. Thu, chi PABT'!$B$11:$B$33,'TH P.Án B.Thường'!B9,'9. Thu, chi PABT'!$J$11:$J$33,'TH P.Án B.Thường'!C9,'9. Thu, chi PABT'!$K$11:$K$33,'TH P.Án B.Thường'!D9,'9. Thu, chi PABT'!$L$11:$L$33,'TH P.Án B.Thường'!E9,'9. Thu, chi PABT'!$M$11:$M$33,'TH P.Án B.Thường'!F9,'9. Thu, chi PABT'!$R$11:$R$33,"&gt;="&amp;'TH P.Án B.Thường'!$D$5,'9. Thu, chi PABT'!$R$11:$R$33,"&lt;="&amp;'TH P.Án B.Thường'!$D$6,'9. Thu, chi PABT'!$F$11:$F$33,"")</f>
        <v>0</v>
      </c>
      <c r="O9" s="41">
        <f>M9-N9</f>
        <v>0</v>
      </c>
      <c r="P9" s="41">
        <f>L9+O9</f>
        <v>100000000</v>
      </c>
      <c r="Q9" s="41">
        <f t="shared" ref="Q9" si="0">I9-P9</f>
        <v>0</v>
      </c>
      <c r="S9" s="153"/>
      <c r="T9" s="184" t="s">
        <v>299</v>
      </c>
      <c r="U9" s="184"/>
    </row>
    <row r="10" spans="1:21" x14ac:dyDescent="0.25">
      <c r="A10" s="7">
        <f t="shared" ref="A10:A17" si="1">IF(B10&lt;&gt;"",ROW(A10)-8,"")</f>
        <v>2</v>
      </c>
      <c r="B10" s="166">
        <v>120</v>
      </c>
      <c r="C10" s="166" t="str">
        <v>Nguyễn Đức Anh</v>
      </c>
      <c r="D10" s="166" t="str">
        <v>Tiên Cát</v>
      </c>
      <c r="E10" s="166" t="str">
        <v>Minh Hà</v>
      </c>
      <c r="F10" s="166" t="str">
        <v>123A</v>
      </c>
      <c r="G10" s="162">
        <f>SUMIFS('4. C.Tiết P.Án B.Thường'!$N$11:$N$33,'4. C.Tiết P.Án B.Thường'!$B$11:$B$33,'TH P.Án B.Thường'!B10,'4. C.Tiết P.Án B.Thường'!$J$11:$J$33,'TH P.Án B.Thường'!C10,'4. C.Tiết P.Án B.Thường'!$K$11:$K$33,'TH P.Án B.Thường'!D10,'4. C.Tiết P.Án B.Thường'!$L$11:$L$33,'TH P.Án B.Thường'!E10,'4. C.Tiết P.Án B.Thường'!$M$11:$M$33,'TH P.Án B.Thường'!F10,'4. C.Tiết P.Án B.Thường'!$C$11:$C$33,"&lt;"&amp;'TH P.Án B.Thường'!$D$5,'4. C.Tiết P.Án B.Thường'!$D$11:$D$33,"",'4. C.Tiết P.Án B.Thường'!$F$11:$F$33,"")+SUMIFS('4. C.Tiết P.Án B.Thường'!$N$11:$N$33,'4. C.Tiết P.Án B.Thường'!$B$11:$B$33,'TH P.Án B.Thường'!B10,'4. C.Tiết P.Án B.Thường'!$J$11:$J$33,'TH P.Án B.Thường'!C10,'4. C.Tiết P.Án B.Thường'!$K$11:$K$33,'TH P.Án B.Thường'!D10,'4. C.Tiết P.Án B.Thường'!$L$11:$L$33,'TH P.Án B.Thường'!E10,'4. C.Tiết P.Án B.Thường'!$M$11:$M$33,'TH P.Án B.Thường'!F10,'4. C.Tiết P.Án B.Thường'!$E$11:$E$33,"&lt;"&amp;'TH P.Án B.Thường'!$D$5,'4. C.Tiết P.Án B.Thường'!$D$11:$D$33,"&lt;&gt;"&amp;"",'4. C.Tiết P.Án B.Thường'!$F$11:$F$33,"")</f>
        <v>1100000000</v>
      </c>
      <c r="H10" s="162">
        <f>SUMIFS('4. C.Tiết P.Án B.Thường'!$N$11:$N$33,'4. C.Tiết P.Án B.Thường'!$B$11:$B$33,'TH P.Án B.Thường'!B10,'4. C.Tiết P.Án B.Thường'!$J$11:$J$33,'TH P.Án B.Thường'!C10,'4. C.Tiết P.Án B.Thường'!$K$11:$K$33,'TH P.Án B.Thường'!D10,'4. C.Tiết P.Án B.Thường'!$L$11:$L$33,'TH P.Án B.Thường'!E10,'4. C.Tiết P.Án B.Thường'!$M$11:$M$33,'TH P.Án B.Thường'!F10,'4. C.Tiết P.Án B.Thường'!$C$11:$C$33,"&gt;="&amp;'TH P.Án B.Thường'!$D$5,'4. C.Tiết P.Án B.Thường'!$C$11:$C$33,"&lt;="&amp;'TH P.Án B.Thường'!$D$6,'4. C.Tiết P.Án B.Thường'!$D$11:$D$33,"",'4. C.Tiết P.Án B.Thường'!$F$11:$F$33,"")+SUMIFS('4. C.Tiết P.Án B.Thường'!$N$11:$N$33,'4. C.Tiết P.Án B.Thường'!$B$11:$B$33,'TH P.Án B.Thường'!B10,'4. C.Tiết P.Án B.Thường'!$J$11:$J$33,'TH P.Án B.Thường'!C10,'4. C.Tiết P.Án B.Thường'!$K$11:$K$33,'TH P.Án B.Thường'!D10,'4. C.Tiết P.Án B.Thường'!$L$11:$L$33,'TH P.Án B.Thường'!E10,'4. C.Tiết P.Án B.Thường'!$M$11:$M$33,'TH P.Án B.Thường'!F10,'4. C.Tiết P.Án B.Thường'!$E$11:$E$33,"&gt;="&amp;'TH P.Án B.Thường'!$D$5,'4. C.Tiết P.Án B.Thường'!$E$11:$E$33,"&lt;="&amp;'TH P.Án B.Thường'!$D$6,'4. C.Tiết P.Án B.Thường'!$D$11:$D$33,"&lt;&gt;"&amp;"",'4. C.Tiết P.Án B.Thường'!$F$11:$F$33,"")</f>
        <v>0</v>
      </c>
      <c r="I10" s="163">
        <f t="shared" ref="I10:I17" si="2">G10+H10</f>
        <v>1100000000</v>
      </c>
      <c r="J10" s="39">
        <f>SUMIFS('9. Thu, chi PABT'!$T$11:$T$33,'9. Thu, chi PABT'!$B$11:$B$33,'TH P.Án B.Thường'!B10,'9. Thu, chi PABT'!$J$11:$J$33,'TH P.Án B.Thường'!C10,'9. Thu, chi PABT'!$K$11:$K$33,'TH P.Án B.Thường'!D10,'9. Thu, chi PABT'!$L$11:$L$33,'TH P.Án B.Thường'!E10,'9. Thu, chi PABT'!$M$11:$M$33,'TH P.Án B.Thường'!F10,'9. Thu, chi PABT'!$R$11:$R$33,"&lt;"&amp;'TH P.Án B.Thường'!$D$5,'9. Thu, chi PABT'!$F$11:$F$33,"")</f>
        <v>900000000</v>
      </c>
      <c r="K10" s="39">
        <f>SUMIFS('9. Thu, chi PABT'!$U$11:$U$33,'9. Thu, chi PABT'!$B$11:$B$33,'TH P.Án B.Thường'!B10,'9. Thu, chi PABT'!$J$11:$J$33,'TH P.Án B.Thường'!C10,'9. Thu, chi PABT'!$K$11:$K$33,'TH P.Án B.Thường'!D10,'9. Thu, chi PABT'!$L$11:$L$33,'TH P.Án B.Thường'!E10,'9. Thu, chi PABT'!$M$11:$M$33,'TH P.Án B.Thường'!F10,'9. Thu, chi PABT'!$R$11:$R$33,"&lt;"&amp;'TH P.Án B.Thường'!$D$5,'9. Thu, chi PABT'!$F$11:$F$33,"")</f>
        <v>0</v>
      </c>
      <c r="L10" s="41">
        <f t="shared" ref="L10:L17" si="3">J10-K10</f>
        <v>900000000</v>
      </c>
      <c r="M10" s="39">
        <f>SUMIFS('9. Thu, chi PABT'!$T$11:$T$33,'9. Thu, chi PABT'!$B$11:$B$33,'TH P.Án B.Thường'!B10,'9. Thu, chi PABT'!$J$11:$J$33,'TH P.Án B.Thường'!C10,'9. Thu, chi PABT'!$K$11:$K$33,'TH P.Án B.Thường'!D10,'9. Thu, chi PABT'!$L$11:$L$33,'TH P.Án B.Thường'!E10,'9. Thu, chi PABT'!$M$11:$M$33,'TH P.Án B.Thường'!F10,'9. Thu, chi PABT'!$R$11:$R$33,"&gt;="&amp;'TH P.Án B.Thường'!$D$5,'9. Thu, chi PABT'!$R$11:$R$33,"&lt;="&amp;'TH P.Án B.Thường'!$D$6,'9. Thu, chi PABT'!$F$11:$F$33,"")</f>
        <v>0</v>
      </c>
      <c r="N10" s="39">
        <f>SUMIFS('9. Thu, chi PABT'!$U$11:$U$33,'9. Thu, chi PABT'!$B$11:$B$33,'TH P.Án B.Thường'!B10,'9. Thu, chi PABT'!$J$11:$J$33,'TH P.Án B.Thường'!C10,'9. Thu, chi PABT'!$K$11:$K$33,'TH P.Án B.Thường'!D10,'9. Thu, chi PABT'!$L$11:$L$33,'TH P.Án B.Thường'!E10,'9. Thu, chi PABT'!$M$11:$M$33,'TH P.Án B.Thường'!F10,'9. Thu, chi PABT'!$R$11:$R$33,"&gt;="&amp;'TH P.Án B.Thường'!$D$5,'9. Thu, chi PABT'!$R$11:$R$33,"&lt;="&amp;'TH P.Án B.Thường'!$D$6,'9. Thu, chi PABT'!$F$11:$F$33,"")</f>
        <v>0</v>
      </c>
      <c r="O10" s="41">
        <f t="shared" ref="O10:O17" si="4">M10-N10</f>
        <v>0</v>
      </c>
      <c r="P10" s="41">
        <f t="shared" ref="P10:P17" si="5">L10+O10</f>
        <v>900000000</v>
      </c>
      <c r="Q10" s="41">
        <f t="shared" ref="Q10:Q17" si="6">I10-P10</f>
        <v>200000000</v>
      </c>
      <c r="S10" s="153"/>
      <c r="T10" s="184"/>
      <c r="U10" s="184"/>
    </row>
    <row r="11" spans="1:21" x14ac:dyDescent="0.25">
      <c r="A11" s="7">
        <f t="shared" si="1"/>
        <v>3</v>
      </c>
      <c r="B11" s="166">
        <v>130</v>
      </c>
      <c r="C11" s="166" t="str">
        <v>Nguyễn Đức Anh</v>
      </c>
      <c r="D11" s="166" t="str">
        <v>Tiên Cát</v>
      </c>
      <c r="E11" s="166" t="str">
        <v>Minh Hà</v>
      </c>
      <c r="F11" s="166" t="str">
        <v>123A</v>
      </c>
      <c r="G11" s="162">
        <f>SUMIFS('4. C.Tiết P.Án B.Thường'!$N$11:$N$33,'4. C.Tiết P.Án B.Thường'!$B$11:$B$33,'TH P.Án B.Thường'!B11,'4. C.Tiết P.Án B.Thường'!$J$11:$J$33,'TH P.Án B.Thường'!C11,'4. C.Tiết P.Án B.Thường'!$K$11:$K$33,'TH P.Án B.Thường'!D11,'4. C.Tiết P.Án B.Thường'!$L$11:$L$33,'TH P.Án B.Thường'!E11,'4. C.Tiết P.Án B.Thường'!$M$11:$M$33,'TH P.Án B.Thường'!F11,'4. C.Tiết P.Án B.Thường'!$C$11:$C$33,"&lt;"&amp;'TH P.Án B.Thường'!$D$5,'4. C.Tiết P.Án B.Thường'!$D$11:$D$33,"",'4. C.Tiết P.Án B.Thường'!$F$11:$F$33,"")+SUMIFS('4. C.Tiết P.Án B.Thường'!$N$11:$N$33,'4. C.Tiết P.Án B.Thường'!$B$11:$B$33,'TH P.Án B.Thường'!B11,'4. C.Tiết P.Án B.Thường'!$J$11:$J$33,'TH P.Án B.Thường'!C11,'4. C.Tiết P.Án B.Thường'!$K$11:$K$33,'TH P.Án B.Thường'!D11,'4. C.Tiết P.Án B.Thường'!$L$11:$L$33,'TH P.Án B.Thường'!E11,'4. C.Tiết P.Án B.Thường'!$M$11:$M$33,'TH P.Án B.Thường'!F11,'4. C.Tiết P.Án B.Thường'!$E$11:$E$33,"&lt;"&amp;'TH P.Án B.Thường'!$D$5,'4. C.Tiết P.Án B.Thường'!$D$11:$D$33,"&lt;&gt;"&amp;"",'4. C.Tiết P.Án B.Thường'!$F$11:$F$33,"")</f>
        <v>2100000000</v>
      </c>
      <c r="H11" s="162">
        <f>SUMIFS('4. C.Tiết P.Án B.Thường'!$N$11:$N$33,'4. C.Tiết P.Án B.Thường'!$B$11:$B$33,'TH P.Án B.Thường'!B11,'4. C.Tiết P.Án B.Thường'!$J$11:$J$33,'TH P.Án B.Thường'!C11,'4. C.Tiết P.Án B.Thường'!$K$11:$K$33,'TH P.Án B.Thường'!D11,'4. C.Tiết P.Án B.Thường'!$L$11:$L$33,'TH P.Án B.Thường'!E11,'4. C.Tiết P.Án B.Thường'!$M$11:$M$33,'TH P.Án B.Thường'!F11,'4. C.Tiết P.Án B.Thường'!$C$11:$C$33,"&gt;="&amp;'TH P.Án B.Thường'!$D$5,'4. C.Tiết P.Án B.Thường'!$C$11:$C$33,"&lt;="&amp;'TH P.Án B.Thường'!$D$6,'4. C.Tiết P.Án B.Thường'!$D$11:$D$33,"",'4. C.Tiết P.Án B.Thường'!$F$11:$F$33,"")+SUMIFS('4. C.Tiết P.Án B.Thường'!$N$11:$N$33,'4. C.Tiết P.Án B.Thường'!$B$11:$B$33,'TH P.Án B.Thường'!B11,'4. C.Tiết P.Án B.Thường'!$J$11:$J$33,'TH P.Án B.Thường'!C11,'4. C.Tiết P.Án B.Thường'!$K$11:$K$33,'TH P.Án B.Thường'!D11,'4. C.Tiết P.Án B.Thường'!$L$11:$L$33,'TH P.Án B.Thường'!E11,'4. C.Tiết P.Án B.Thường'!$M$11:$M$33,'TH P.Án B.Thường'!F11,'4. C.Tiết P.Án B.Thường'!$E$11:$E$33,"&gt;="&amp;'TH P.Án B.Thường'!$D$5,'4. C.Tiết P.Án B.Thường'!$E$11:$E$33,"&lt;="&amp;'TH P.Án B.Thường'!$D$6,'4. C.Tiết P.Án B.Thường'!$D$11:$D$33,"&lt;&gt;"&amp;"",'4. C.Tiết P.Án B.Thường'!$F$11:$F$33,"")</f>
        <v>0</v>
      </c>
      <c r="I11" s="163">
        <f t="shared" si="2"/>
        <v>2100000000</v>
      </c>
      <c r="J11" s="39">
        <f>SUMIFS('9. Thu, chi PABT'!$T$11:$T$33,'9. Thu, chi PABT'!$B$11:$B$33,'TH P.Án B.Thường'!B11,'9. Thu, chi PABT'!$J$11:$J$33,'TH P.Án B.Thường'!C11,'9. Thu, chi PABT'!$K$11:$K$33,'TH P.Án B.Thường'!D11,'9. Thu, chi PABT'!$L$11:$L$33,'TH P.Án B.Thường'!E11,'9. Thu, chi PABT'!$M$11:$M$33,'TH P.Án B.Thường'!F11,'9. Thu, chi PABT'!$R$11:$R$33,"&lt;"&amp;'TH P.Án B.Thường'!$D$5,'9. Thu, chi PABT'!$F$11:$F$33,"")</f>
        <v>2100000000</v>
      </c>
      <c r="K11" s="39">
        <f>SUMIFS('9. Thu, chi PABT'!$U$11:$U$33,'9. Thu, chi PABT'!$B$11:$B$33,'TH P.Án B.Thường'!B11,'9. Thu, chi PABT'!$J$11:$J$33,'TH P.Án B.Thường'!C11,'9. Thu, chi PABT'!$K$11:$K$33,'TH P.Án B.Thường'!D11,'9. Thu, chi PABT'!$L$11:$L$33,'TH P.Án B.Thường'!E11,'9. Thu, chi PABT'!$M$11:$M$33,'TH P.Án B.Thường'!F11,'9. Thu, chi PABT'!$R$11:$R$33,"&lt;"&amp;'TH P.Án B.Thường'!$D$5,'9. Thu, chi PABT'!$F$11:$F$33,"")</f>
        <v>0</v>
      </c>
      <c r="L11" s="41">
        <f t="shared" si="3"/>
        <v>2100000000</v>
      </c>
      <c r="M11" s="39">
        <f>SUMIFS('9. Thu, chi PABT'!$T$11:$T$33,'9. Thu, chi PABT'!$B$11:$B$33,'TH P.Án B.Thường'!B11,'9. Thu, chi PABT'!$J$11:$J$33,'TH P.Án B.Thường'!C11,'9. Thu, chi PABT'!$K$11:$K$33,'TH P.Án B.Thường'!D11,'9. Thu, chi PABT'!$L$11:$L$33,'TH P.Án B.Thường'!E11,'9. Thu, chi PABT'!$M$11:$M$33,'TH P.Án B.Thường'!F11,'9. Thu, chi PABT'!$R$11:$R$33,"&gt;="&amp;'TH P.Án B.Thường'!$D$5,'9. Thu, chi PABT'!$R$11:$R$33,"&lt;="&amp;'TH P.Án B.Thường'!$D$6,'9. Thu, chi PABT'!$F$11:$F$33,"")</f>
        <v>0</v>
      </c>
      <c r="N11" s="39">
        <f>SUMIFS('9. Thu, chi PABT'!$U$11:$U$33,'9. Thu, chi PABT'!$B$11:$B$33,'TH P.Án B.Thường'!B11,'9. Thu, chi PABT'!$J$11:$J$33,'TH P.Án B.Thường'!C11,'9. Thu, chi PABT'!$K$11:$K$33,'TH P.Án B.Thường'!D11,'9. Thu, chi PABT'!$L$11:$L$33,'TH P.Án B.Thường'!E11,'9. Thu, chi PABT'!$M$11:$M$33,'TH P.Án B.Thường'!F11,'9. Thu, chi PABT'!$R$11:$R$33,"&gt;="&amp;'TH P.Án B.Thường'!$D$5,'9. Thu, chi PABT'!$R$11:$R$33,"&lt;="&amp;'TH P.Án B.Thường'!$D$6,'9. Thu, chi PABT'!$F$11:$F$33,"")</f>
        <v>0</v>
      </c>
      <c r="O11" s="41">
        <f t="shared" si="4"/>
        <v>0</v>
      </c>
      <c r="P11" s="41">
        <f t="shared" si="5"/>
        <v>2100000000</v>
      </c>
      <c r="Q11" s="41">
        <f t="shared" si="6"/>
        <v>0</v>
      </c>
      <c r="S11" s="153"/>
    </row>
    <row r="12" spans="1:21" x14ac:dyDescent="0.25">
      <c r="A12" s="7">
        <f t="shared" si="1"/>
        <v>4</v>
      </c>
      <c r="B12" s="166">
        <v>140</v>
      </c>
      <c r="C12" s="166" t="str">
        <v>Nguyễn Đức Anh</v>
      </c>
      <c r="D12" s="166" t="str">
        <v>Tiên Cát</v>
      </c>
      <c r="E12" s="166" t="str">
        <v>Minh Hà</v>
      </c>
      <c r="F12" s="166" t="str">
        <v>123A</v>
      </c>
      <c r="G12" s="162">
        <f>SUMIFS('4. C.Tiết P.Án B.Thường'!$N$11:$N$33,'4. C.Tiết P.Án B.Thường'!$B$11:$B$33,'TH P.Án B.Thường'!B12,'4. C.Tiết P.Án B.Thường'!$J$11:$J$33,'TH P.Án B.Thường'!C12,'4. C.Tiết P.Án B.Thường'!$K$11:$K$33,'TH P.Án B.Thường'!D12,'4. C.Tiết P.Án B.Thường'!$L$11:$L$33,'TH P.Án B.Thường'!E12,'4. C.Tiết P.Án B.Thường'!$M$11:$M$33,'TH P.Án B.Thường'!F12,'4. C.Tiết P.Án B.Thường'!$C$11:$C$33,"&lt;"&amp;'TH P.Án B.Thường'!$D$5,'4. C.Tiết P.Án B.Thường'!$D$11:$D$33,"",'4. C.Tiết P.Án B.Thường'!$F$11:$F$33,"")+SUMIFS('4. C.Tiết P.Án B.Thường'!$N$11:$N$33,'4. C.Tiết P.Án B.Thường'!$B$11:$B$33,'TH P.Án B.Thường'!B12,'4. C.Tiết P.Án B.Thường'!$J$11:$J$33,'TH P.Án B.Thường'!C12,'4. C.Tiết P.Án B.Thường'!$K$11:$K$33,'TH P.Án B.Thường'!D12,'4. C.Tiết P.Án B.Thường'!$L$11:$L$33,'TH P.Án B.Thường'!E12,'4. C.Tiết P.Án B.Thường'!$M$11:$M$33,'TH P.Án B.Thường'!F12,'4. C.Tiết P.Án B.Thường'!$E$11:$E$33,"&lt;"&amp;'TH P.Án B.Thường'!$D$5,'4. C.Tiết P.Án B.Thường'!$D$11:$D$33,"&lt;&gt;"&amp;"",'4. C.Tiết P.Án B.Thường'!$F$11:$F$33,"")</f>
        <v>900000000</v>
      </c>
      <c r="H12" s="162">
        <f>SUMIFS('4. C.Tiết P.Án B.Thường'!$N$11:$N$33,'4. C.Tiết P.Án B.Thường'!$B$11:$B$33,'TH P.Án B.Thường'!B12,'4. C.Tiết P.Án B.Thường'!$J$11:$J$33,'TH P.Án B.Thường'!C12,'4. C.Tiết P.Án B.Thường'!$K$11:$K$33,'TH P.Án B.Thường'!D12,'4. C.Tiết P.Án B.Thường'!$L$11:$L$33,'TH P.Án B.Thường'!E12,'4. C.Tiết P.Án B.Thường'!$M$11:$M$33,'TH P.Án B.Thường'!F12,'4. C.Tiết P.Án B.Thường'!$C$11:$C$33,"&gt;="&amp;'TH P.Án B.Thường'!$D$5,'4. C.Tiết P.Án B.Thường'!$C$11:$C$33,"&lt;="&amp;'TH P.Án B.Thường'!$D$6,'4. C.Tiết P.Án B.Thường'!$D$11:$D$33,"",'4. C.Tiết P.Án B.Thường'!$F$11:$F$33,"")+SUMIFS('4. C.Tiết P.Án B.Thường'!$N$11:$N$33,'4. C.Tiết P.Án B.Thường'!$B$11:$B$33,'TH P.Án B.Thường'!B12,'4. C.Tiết P.Án B.Thường'!$J$11:$J$33,'TH P.Án B.Thường'!C12,'4. C.Tiết P.Án B.Thường'!$K$11:$K$33,'TH P.Án B.Thường'!D12,'4. C.Tiết P.Án B.Thường'!$L$11:$L$33,'TH P.Án B.Thường'!E12,'4. C.Tiết P.Án B.Thường'!$M$11:$M$33,'TH P.Án B.Thường'!F12,'4. C.Tiết P.Án B.Thường'!$E$11:$E$33,"&gt;="&amp;'TH P.Án B.Thường'!$D$5,'4. C.Tiết P.Án B.Thường'!$E$11:$E$33,"&lt;="&amp;'TH P.Án B.Thường'!$D$6,'4. C.Tiết P.Án B.Thường'!$D$11:$D$33,"&lt;&gt;"&amp;"",'4. C.Tiết P.Án B.Thường'!$F$11:$F$33,"")</f>
        <v>0</v>
      </c>
      <c r="I12" s="163">
        <f t="shared" si="2"/>
        <v>900000000</v>
      </c>
      <c r="J12" s="39">
        <f>SUMIFS('9. Thu, chi PABT'!$T$11:$T$33,'9. Thu, chi PABT'!$B$11:$B$33,'TH P.Án B.Thường'!B12,'9. Thu, chi PABT'!$J$11:$J$33,'TH P.Án B.Thường'!C12,'9. Thu, chi PABT'!$K$11:$K$33,'TH P.Án B.Thường'!D12,'9. Thu, chi PABT'!$L$11:$L$33,'TH P.Án B.Thường'!E12,'9. Thu, chi PABT'!$M$11:$M$33,'TH P.Án B.Thường'!F12,'9. Thu, chi PABT'!$R$11:$R$33,"&lt;"&amp;'TH P.Án B.Thường'!$D$5,'9. Thu, chi PABT'!$F$11:$F$33,"")</f>
        <v>1000000000</v>
      </c>
      <c r="K12" s="39">
        <f>SUMIFS('9. Thu, chi PABT'!$U$11:$U$33,'9. Thu, chi PABT'!$B$11:$B$33,'TH P.Án B.Thường'!B12,'9. Thu, chi PABT'!$J$11:$J$33,'TH P.Án B.Thường'!C12,'9. Thu, chi PABT'!$K$11:$K$33,'TH P.Án B.Thường'!D12,'9. Thu, chi PABT'!$L$11:$L$33,'TH P.Án B.Thường'!E12,'9. Thu, chi PABT'!$M$11:$M$33,'TH P.Án B.Thường'!F12,'9. Thu, chi PABT'!$R$11:$R$33,"&lt;"&amp;'TH P.Án B.Thường'!$D$5,'9. Thu, chi PABT'!$F$11:$F$33,"")</f>
        <v>100000000</v>
      </c>
      <c r="L12" s="41">
        <f t="shared" si="3"/>
        <v>900000000</v>
      </c>
      <c r="M12" s="39">
        <f>SUMIFS('9. Thu, chi PABT'!$T$11:$T$33,'9. Thu, chi PABT'!$B$11:$B$33,'TH P.Án B.Thường'!B12,'9. Thu, chi PABT'!$J$11:$J$33,'TH P.Án B.Thường'!C12,'9. Thu, chi PABT'!$K$11:$K$33,'TH P.Án B.Thường'!D12,'9. Thu, chi PABT'!$L$11:$L$33,'TH P.Án B.Thường'!E12,'9. Thu, chi PABT'!$M$11:$M$33,'TH P.Án B.Thường'!F12,'9. Thu, chi PABT'!$R$11:$R$33,"&gt;="&amp;'TH P.Án B.Thường'!$D$5,'9. Thu, chi PABT'!$R$11:$R$33,"&lt;="&amp;'TH P.Án B.Thường'!$D$6,'9. Thu, chi PABT'!$F$11:$F$33,"")</f>
        <v>0</v>
      </c>
      <c r="N12" s="39">
        <f>SUMIFS('9. Thu, chi PABT'!$U$11:$U$33,'9. Thu, chi PABT'!$B$11:$B$33,'TH P.Án B.Thường'!B12,'9. Thu, chi PABT'!$J$11:$J$33,'TH P.Án B.Thường'!C12,'9. Thu, chi PABT'!$K$11:$K$33,'TH P.Án B.Thường'!D12,'9. Thu, chi PABT'!$L$11:$L$33,'TH P.Án B.Thường'!E12,'9. Thu, chi PABT'!$M$11:$M$33,'TH P.Án B.Thường'!F12,'9. Thu, chi PABT'!$R$11:$R$33,"&gt;="&amp;'TH P.Án B.Thường'!$D$5,'9. Thu, chi PABT'!$R$11:$R$33,"&lt;="&amp;'TH P.Án B.Thường'!$D$6,'9. Thu, chi PABT'!$F$11:$F$33,"")</f>
        <v>0</v>
      </c>
      <c r="O12" s="41">
        <f t="shared" si="4"/>
        <v>0</v>
      </c>
      <c r="P12" s="41">
        <f t="shared" si="5"/>
        <v>900000000</v>
      </c>
      <c r="Q12" s="41">
        <f t="shared" si="6"/>
        <v>0</v>
      </c>
      <c r="S12" s="153"/>
    </row>
    <row r="13" spans="1:21" x14ac:dyDescent="0.25">
      <c r="A13" s="7">
        <f t="shared" si="1"/>
        <v>5</v>
      </c>
      <c r="B13" s="166">
        <v>110</v>
      </c>
      <c r="C13" s="166" t="str">
        <v>Nguyễn Đức Anh</v>
      </c>
      <c r="D13" s="166" t="str">
        <v>Tiên Cát</v>
      </c>
      <c r="E13" s="166" t="str">
        <v>Minh Hà</v>
      </c>
      <c r="F13" s="166" t="str">
        <v>123A</v>
      </c>
      <c r="G13" s="162">
        <f>SUMIFS('4. C.Tiết P.Án B.Thường'!$N$11:$N$33,'4. C.Tiết P.Án B.Thường'!$B$11:$B$33,'TH P.Án B.Thường'!B13,'4. C.Tiết P.Án B.Thường'!$J$11:$J$33,'TH P.Án B.Thường'!C13,'4. C.Tiết P.Án B.Thường'!$K$11:$K$33,'TH P.Án B.Thường'!D13,'4. C.Tiết P.Án B.Thường'!$L$11:$L$33,'TH P.Án B.Thường'!E13,'4. C.Tiết P.Án B.Thường'!$M$11:$M$33,'TH P.Án B.Thường'!F13,'4. C.Tiết P.Án B.Thường'!$C$11:$C$33,"&lt;"&amp;'TH P.Án B.Thường'!$D$5,'4. C.Tiết P.Án B.Thường'!$D$11:$D$33,"",'4. C.Tiết P.Án B.Thường'!$F$11:$F$33,"")+SUMIFS('4. C.Tiết P.Án B.Thường'!$N$11:$N$33,'4. C.Tiết P.Án B.Thường'!$B$11:$B$33,'TH P.Án B.Thường'!B13,'4. C.Tiết P.Án B.Thường'!$J$11:$J$33,'TH P.Án B.Thường'!C13,'4. C.Tiết P.Án B.Thường'!$K$11:$K$33,'TH P.Án B.Thường'!D13,'4. C.Tiết P.Án B.Thường'!$L$11:$L$33,'TH P.Án B.Thường'!E13,'4. C.Tiết P.Án B.Thường'!$M$11:$M$33,'TH P.Án B.Thường'!F13,'4. C.Tiết P.Án B.Thường'!$E$11:$E$33,"&lt;"&amp;'TH P.Án B.Thường'!$D$5,'4. C.Tiết P.Án B.Thường'!$D$11:$D$33,"&lt;&gt;"&amp;"",'4. C.Tiết P.Án B.Thường'!$F$11:$F$33,"")</f>
        <v>300000000</v>
      </c>
      <c r="H13" s="162">
        <f>SUMIFS('4. C.Tiết P.Án B.Thường'!$N$11:$N$33,'4. C.Tiết P.Án B.Thường'!$B$11:$B$33,'TH P.Án B.Thường'!B13,'4. C.Tiết P.Án B.Thường'!$J$11:$J$33,'TH P.Án B.Thường'!C13,'4. C.Tiết P.Án B.Thường'!$K$11:$K$33,'TH P.Án B.Thường'!D13,'4. C.Tiết P.Án B.Thường'!$L$11:$L$33,'TH P.Án B.Thường'!E13,'4. C.Tiết P.Án B.Thường'!$M$11:$M$33,'TH P.Án B.Thường'!F13,'4. C.Tiết P.Án B.Thường'!$C$11:$C$33,"&gt;="&amp;'TH P.Án B.Thường'!$D$5,'4. C.Tiết P.Án B.Thường'!$C$11:$C$33,"&lt;="&amp;'TH P.Án B.Thường'!$D$6,'4. C.Tiết P.Án B.Thường'!$D$11:$D$33,"",'4. C.Tiết P.Án B.Thường'!$F$11:$F$33,"")+SUMIFS('4. C.Tiết P.Án B.Thường'!$N$11:$N$33,'4. C.Tiết P.Án B.Thường'!$B$11:$B$33,'TH P.Án B.Thường'!B13,'4. C.Tiết P.Án B.Thường'!$J$11:$J$33,'TH P.Án B.Thường'!C13,'4. C.Tiết P.Án B.Thường'!$K$11:$K$33,'TH P.Án B.Thường'!D13,'4. C.Tiết P.Án B.Thường'!$L$11:$L$33,'TH P.Án B.Thường'!E13,'4. C.Tiết P.Án B.Thường'!$M$11:$M$33,'TH P.Án B.Thường'!F13,'4. C.Tiết P.Án B.Thường'!$E$11:$E$33,"&gt;="&amp;'TH P.Án B.Thường'!$D$5,'4. C.Tiết P.Án B.Thường'!$E$11:$E$33,"&lt;="&amp;'TH P.Án B.Thường'!$D$6,'4. C.Tiết P.Án B.Thường'!$D$11:$D$33,"&lt;&gt;"&amp;"",'4. C.Tiết P.Án B.Thường'!$F$11:$F$33,"")</f>
        <v>0</v>
      </c>
      <c r="I13" s="163">
        <f t="shared" si="2"/>
        <v>300000000</v>
      </c>
      <c r="J13" s="39">
        <f>SUMIFS('9. Thu, chi PABT'!$T$11:$T$33,'9. Thu, chi PABT'!$B$11:$B$33,'TH P.Án B.Thường'!B13,'9. Thu, chi PABT'!$J$11:$J$33,'TH P.Án B.Thường'!C13,'9. Thu, chi PABT'!$K$11:$K$33,'TH P.Án B.Thường'!D13,'9. Thu, chi PABT'!$L$11:$L$33,'TH P.Án B.Thường'!E13,'9. Thu, chi PABT'!$M$11:$M$33,'TH P.Án B.Thường'!F13,'9. Thu, chi PABT'!$R$11:$R$33,"&lt;"&amp;'TH P.Án B.Thường'!$D$5,'9. Thu, chi PABT'!$F$11:$F$33,"")</f>
        <v>500000000</v>
      </c>
      <c r="K13" s="39">
        <f>SUMIFS('9. Thu, chi PABT'!$U$11:$U$33,'9. Thu, chi PABT'!$B$11:$B$33,'TH P.Án B.Thường'!B13,'9. Thu, chi PABT'!$J$11:$J$33,'TH P.Án B.Thường'!C13,'9. Thu, chi PABT'!$K$11:$K$33,'TH P.Án B.Thường'!D13,'9. Thu, chi PABT'!$L$11:$L$33,'TH P.Án B.Thường'!E13,'9. Thu, chi PABT'!$M$11:$M$33,'TH P.Án B.Thường'!F13,'9. Thu, chi PABT'!$R$11:$R$33,"&lt;"&amp;'TH P.Án B.Thường'!$D$5,'9. Thu, chi PABT'!$F$11:$F$33,"")</f>
        <v>0</v>
      </c>
      <c r="L13" s="41">
        <f t="shared" si="3"/>
        <v>500000000</v>
      </c>
      <c r="M13" s="39">
        <f>SUMIFS('9. Thu, chi PABT'!$T$11:$T$33,'9. Thu, chi PABT'!$B$11:$B$33,'TH P.Án B.Thường'!B13,'9. Thu, chi PABT'!$J$11:$J$33,'TH P.Án B.Thường'!C13,'9. Thu, chi PABT'!$K$11:$K$33,'TH P.Án B.Thường'!D13,'9. Thu, chi PABT'!$L$11:$L$33,'TH P.Án B.Thường'!E13,'9. Thu, chi PABT'!$M$11:$M$33,'TH P.Án B.Thường'!F13,'9. Thu, chi PABT'!$R$11:$R$33,"&gt;="&amp;'TH P.Án B.Thường'!$D$5,'9. Thu, chi PABT'!$R$11:$R$33,"&lt;="&amp;'TH P.Án B.Thường'!$D$6,'9. Thu, chi PABT'!$F$11:$F$33,"")</f>
        <v>0</v>
      </c>
      <c r="N13" s="39">
        <f>SUMIFS('9. Thu, chi PABT'!$U$11:$U$33,'9. Thu, chi PABT'!$B$11:$B$33,'TH P.Án B.Thường'!B13,'9. Thu, chi PABT'!$J$11:$J$33,'TH P.Án B.Thường'!C13,'9. Thu, chi PABT'!$K$11:$K$33,'TH P.Án B.Thường'!D13,'9. Thu, chi PABT'!$L$11:$L$33,'TH P.Án B.Thường'!E13,'9. Thu, chi PABT'!$M$11:$M$33,'TH P.Án B.Thường'!F13,'9. Thu, chi PABT'!$R$11:$R$33,"&gt;="&amp;'TH P.Án B.Thường'!$D$5,'9. Thu, chi PABT'!$R$11:$R$33,"&lt;="&amp;'TH P.Án B.Thường'!$D$6,'9. Thu, chi PABT'!$F$11:$F$33,"")</f>
        <v>0</v>
      </c>
      <c r="O13" s="41">
        <f t="shared" si="4"/>
        <v>0</v>
      </c>
      <c r="P13" s="41">
        <f t="shared" si="5"/>
        <v>500000000</v>
      </c>
      <c r="Q13" s="41">
        <f t="shared" si="6"/>
        <v>-200000000</v>
      </c>
      <c r="S13" s="153"/>
    </row>
    <row r="14" spans="1:21" x14ac:dyDescent="0.25">
      <c r="A14" s="7" t="str">
        <f t="shared" si="1"/>
        <v/>
      </c>
      <c r="B14" s="166"/>
      <c r="C14" s="166"/>
      <c r="D14" s="166"/>
      <c r="E14" s="166"/>
      <c r="F14" s="166"/>
      <c r="G14" s="162">
        <f>SUMIFS('4. C.Tiết P.Án B.Thường'!$N$11:$N$33,'4. C.Tiết P.Án B.Thường'!$B$11:$B$33,'TH P.Án B.Thường'!B14,'4. C.Tiết P.Án B.Thường'!$J$11:$J$33,'TH P.Án B.Thường'!C14,'4. C.Tiết P.Án B.Thường'!$K$11:$K$33,'TH P.Án B.Thường'!D14,'4. C.Tiết P.Án B.Thường'!$L$11:$L$33,'TH P.Án B.Thường'!E14,'4. C.Tiết P.Án B.Thường'!$M$11:$M$33,'TH P.Án B.Thường'!F14,'4. C.Tiết P.Án B.Thường'!$C$11:$C$33,"&lt;"&amp;'TH P.Án B.Thường'!$D$5,'4. C.Tiết P.Án B.Thường'!$D$11:$D$33,"",'4. C.Tiết P.Án B.Thường'!$F$11:$F$33,"")+SUMIFS('4. C.Tiết P.Án B.Thường'!$N$11:$N$33,'4. C.Tiết P.Án B.Thường'!$B$11:$B$33,'TH P.Án B.Thường'!B14,'4. C.Tiết P.Án B.Thường'!$J$11:$J$33,'TH P.Án B.Thường'!C14,'4. C.Tiết P.Án B.Thường'!$K$11:$K$33,'TH P.Án B.Thường'!D14,'4. C.Tiết P.Án B.Thường'!$L$11:$L$33,'TH P.Án B.Thường'!E14,'4. C.Tiết P.Án B.Thường'!$M$11:$M$33,'TH P.Án B.Thường'!F14,'4. C.Tiết P.Án B.Thường'!$E$11:$E$33,"&lt;"&amp;'TH P.Án B.Thường'!$D$5,'4. C.Tiết P.Án B.Thường'!$D$11:$D$33,"&lt;&gt;"&amp;"",'4. C.Tiết P.Án B.Thường'!$F$11:$F$33,"")</f>
        <v>0</v>
      </c>
      <c r="H14" s="162">
        <f>SUMIFS('4. C.Tiết P.Án B.Thường'!$N$11:$N$33,'4. C.Tiết P.Án B.Thường'!$B$11:$B$33,'TH P.Án B.Thường'!B14,'4. C.Tiết P.Án B.Thường'!$J$11:$J$33,'TH P.Án B.Thường'!C14,'4. C.Tiết P.Án B.Thường'!$K$11:$K$33,'TH P.Án B.Thường'!D14,'4. C.Tiết P.Án B.Thường'!$L$11:$L$33,'TH P.Án B.Thường'!E14,'4. C.Tiết P.Án B.Thường'!$M$11:$M$33,'TH P.Án B.Thường'!F14,'4. C.Tiết P.Án B.Thường'!$C$11:$C$33,"&gt;="&amp;'TH P.Án B.Thường'!$D$5,'4. C.Tiết P.Án B.Thường'!$C$11:$C$33,"&lt;="&amp;'TH P.Án B.Thường'!$D$6,'4. C.Tiết P.Án B.Thường'!$D$11:$D$33,"",'4. C.Tiết P.Án B.Thường'!$F$11:$F$33,"")+SUMIFS('4. C.Tiết P.Án B.Thường'!$N$11:$N$33,'4. C.Tiết P.Án B.Thường'!$B$11:$B$33,'TH P.Án B.Thường'!B14,'4. C.Tiết P.Án B.Thường'!$J$11:$J$33,'TH P.Án B.Thường'!C14,'4. C.Tiết P.Án B.Thường'!$K$11:$K$33,'TH P.Án B.Thường'!D14,'4. C.Tiết P.Án B.Thường'!$L$11:$L$33,'TH P.Án B.Thường'!E14,'4. C.Tiết P.Án B.Thường'!$M$11:$M$33,'TH P.Án B.Thường'!F14,'4. C.Tiết P.Án B.Thường'!$E$11:$E$33,"&gt;="&amp;'TH P.Án B.Thường'!$D$5,'4. C.Tiết P.Án B.Thường'!$E$11:$E$33,"&lt;="&amp;'TH P.Án B.Thường'!$D$6,'4. C.Tiết P.Án B.Thường'!$D$11:$D$33,"&lt;&gt;"&amp;"",'4. C.Tiết P.Án B.Thường'!$F$11:$F$33,"")</f>
        <v>0</v>
      </c>
      <c r="I14" s="163">
        <f t="shared" si="2"/>
        <v>0</v>
      </c>
      <c r="J14" s="39">
        <f>SUMIFS('9. Thu, chi PABT'!$T$11:$T$33,'9. Thu, chi PABT'!$B$11:$B$33,'TH P.Án B.Thường'!B14,'9. Thu, chi PABT'!$J$11:$J$33,'TH P.Án B.Thường'!C14,'9. Thu, chi PABT'!$K$11:$K$33,'TH P.Án B.Thường'!D14,'9. Thu, chi PABT'!$L$11:$L$33,'TH P.Án B.Thường'!E14,'9. Thu, chi PABT'!$M$11:$M$33,'TH P.Án B.Thường'!F14,'9. Thu, chi PABT'!$R$11:$R$33,"&lt;"&amp;'TH P.Án B.Thường'!$D$5,'9. Thu, chi PABT'!$F$11:$F$33,"")</f>
        <v>0</v>
      </c>
      <c r="K14" s="39">
        <f>SUMIFS('9. Thu, chi PABT'!$U$11:$U$33,'9. Thu, chi PABT'!$B$11:$B$33,'TH P.Án B.Thường'!B14,'9. Thu, chi PABT'!$J$11:$J$33,'TH P.Án B.Thường'!C14,'9. Thu, chi PABT'!$K$11:$K$33,'TH P.Án B.Thường'!D14,'9. Thu, chi PABT'!$L$11:$L$33,'TH P.Án B.Thường'!E14,'9. Thu, chi PABT'!$M$11:$M$33,'TH P.Án B.Thường'!F14,'9. Thu, chi PABT'!$R$11:$R$33,"&lt;"&amp;'TH P.Án B.Thường'!$D$5,'9. Thu, chi PABT'!$F$11:$F$33,"")</f>
        <v>0</v>
      </c>
      <c r="L14" s="41">
        <f t="shared" si="3"/>
        <v>0</v>
      </c>
      <c r="M14" s="39">
        <f>SUMIFS('9. Thu, chi PABT'!$T$11:$T$33,'9. Thu, chi PABT'!$B$11:$B$33,'TH P.Án B.Thường'!B14,'9. Thu, chi PABT'!$J$11:$J$33,'TH P.Án B.Thường'!C14,'9. Thu, chi PABT'!$K$11:$K$33,'TH P.Án B.Thường'!D14,'9. Thu, chi PABT'!$L$11:$L$33,'TH P.Án B.Thường'!E14,'9. Thu, chi PABT'!$M$11:$M$33,'TH P.Án B.Thường'!F14,'9. Thu, chi PABT'!$R$11:$R$33,"&gt;="&amp;'TH P.Án B.Thường'!$D$5,'9. Thu, chi PABT'!$R$11:$R$33,"&lt;="&amp;'TH P.Án B.Thường'!$D$6,'9. Thu, chi PABT'!$F$11:$F$33,"")</f>
        <v>0</v>
      </c>
      <c r="N14" s="39">
        <f>SUMIFS('9. Thu, chi PABT'!$U$11:$U$33,'9. Thu, chi PABT'!$B$11:$B$33,'TH P.Án B.Thường'!B14,'9. Thu, chi PABT'!$J$11:$J$33,'TH P.Án B.Thường'!C14,'9. Thu, chi PABT'!$K$11:$K$33,'TH P.Án B.Thường'!D14,'9. Thu, chi PABT'!$L$11:$L$33,'TH P.Án B.Thường'!E14,'9. Thu, chi PABT'!$M$11:$M$33,'TH P.Án B.Thường'!F14,'9. Thu, chi PABT'!$R$11:$R$33,"&gt;="&amp;'TH P.Án B.Thường'!$D$5,'9. Thu, chi PABT'!$R$11:$R$33,"&lt;="&amp;'TH P.Án B.Thường'!$D$6,'9. Thu, chi PABT'!$F$11:$F$33,"")</f>
        <v>0</v>
      </c>
      <c r="O14" s="41">
        <f t="shared" si="4"/>
        <v>0</v>
      </c>
      <c r="P14" s="41">
        <f t="shared" si="5"/>
        <v>0</v>
      </c>
      <c r="Q14" s="41">
        <f t="shared" si="6"/>
        <v>0</v>
      </c>
      <c r="S14" s="153"/>
    </row>
    <row r="15" spans="1:21" x14ac:dyDescent="0.25">
      <c r="A15" s="7" t="str">
        <f t="shared" si="1"/>
        <v/>
      </c>
      <c r="B15" s="166"/>
      <c r="C15" s="166"/>
      <c r="D15" s="166"/>
      <c r="E15" s="166"/>
      <c r="F15" s="166"/>
      <c r="G15" s="162">
        <f>SUMIFS('4. C.Tiết P.Án B.Thường'!$N$11:$N$33,'4. C.Tiết P.Án B.Thường'!$B$11:$B$33,'TH P.Án B.Thường'!B15,'4. C.Tiết P.Án B.Thường'!$J$11:$J$33,'TH P.Án B.Thường'!C15,'4. C.Tiết P.Án B.Thường'!$K$11:$K$33,'TH P.Án B.Thường'!D15,'4. C.Tiết P.Án B.Thường'!$L$11:$L$33,'TH P.Án B.Thường'!E15,'4. C.Tiết P.Án B.Thường'!$M$11:$M$33,'TH P.Án B.Thường'!F15,'4. C.Tiết P.Án B.Thường'!$C$11:$C$33,"&lt;"&amp;'TH P.Án B.Thường'!$D$5,'4. C.Tiết P.Án B.Thường'!$D$11:$D$33,"",'4. C.Tiết P.Án B.Thường'!$F$11:$F$33,"")+SUMIFS('4. C.Tiết P.Án B.Thường'!$N$11:$N$33,'4. C.Tiết P.Án B.Thường'!$B$11:$B$33,'TH P.Án B.Thường'!B15,'4. C.Tiết P.Án B.Thường'!$J$11:$J$33,'TH P.Án B.Thường'!C15,'4. C.Tiết P.Án B.Thường'!$K$11:$K$33,'TH P.Án B.Thường'!D15,'4. C.Tiết P.Án B.Thường'!$L$11:$L$33,'TH P.Án B.Thường'!E15,'4. C.Tiết P.Án B.Thường'!$M$11:$M$33,'TH P.Án B.Thường'!F15,'4. C.Tiết P.Án B.Thường'!$E$11:$E$33,"&lt;"&amp;'TH P.Án B.Thường'!$D$5,'4. C.Tiết P.Án B.Thường'!$D$11:$D$33,"&lt;&gt;"&amp;"",'4. C.Tiết P.Án B.Thường'!$F$11:$F$33,"")</f>
        <v>0</v>
      </c>
      <c r="H15" s="162">
        <f>SUMIFS('4. C.Tiết P.Án B.Thường'!$N$11:$N$33,'4. C.Tiết P.Án B.Thường'!$B$11:$B$33,'TH P.Án B.Thường'!B15,'4. C.Tiết P.Án B.Thường'!$J$11:$J$33,'TH P.Án B.Thường'!C15,'4. C.Tiết P.Án B.Thường'!$K$11:$K$33,'TH P.Án B.Thường'!D15,'4. C.Tiết P.Án B.Thường'!$L$11:$L$33,'TH P.Án B.Thường'!E15,'4. C.Tiết P.Án B.Thường'!$M$11:$M$33,'TH P.Án B.Thường'!F15,'4. C.Tiết P.Án B.Thường'!$C$11:$C$33,"&gt;="&amp;'TH P.Án B.Thường'!$D$5,'4. C.Tiết P.Án B.Thường'!$C$11:$C$33,"&lt;="&amp;'TH P.Án B.Thường'!$D$6,'4. C.Tiết P.Án B.Thường'!$D$11:$D$33,"",'4. C.Tiết P.Án B.Thường'!$F$11:$F$33,"")+SUMIFS('4. C.Tiết P.Án B.Thường'!$N$11:$N$33,'4. C.Tiết P.Án B.Thường'!$B$11:$B$33,'TH P.Án B.Thường'!B15,'4. C.Tiết P.Án B.Thường'!$J$11:$J$33,'TH P.Án B.Thường'!C15,'4. C.Tiết P.Án B.Thường'!$K$11:$K$33,'TH P.Án B.Thường'!D15,'4. C.Tiết P.Án B.Thường'!$L$11:$L$33,'TH P.Án B.Thường'!E15,'4. C.Tiết P.Án B.Thường'!$M$11:$M$33,'TH P.Án B.Thường'!F15,'4. C.Tiết P.Án B.Thường'!$E$11:$E$33,"&gt;="&amp;'TH P.Án B.Thường'!$D$5,'4. C.Tiết P.Án B.Thường'!$E$11:$E$33,"&lt;="&amp;'TH P.Án B.Thường'!$D$6,'4. C.Tiết P.Án B.Thường'!$D$11:$D$33,"&lt;&gt;"&amp;"",'4. C.Tiết P.Án B.Thường'!$F$11:$F$33,"")</f>
        <v>0</v>
      </c>
      <c r="I15" s="163">
        <f t="shared" si="2"/>
        <v>0</v>
      </c>
      <c r="J15" s="39">
        <f>SUMIFS('9. Thu, chi PABT'!$T$11:$T$33,'9. Thu, chi PABT'!$B$11:$B$33,'TH P.Án B.Thường'!B15,'9. Thu, chi PABT'!$J$11:$J$33,'TH P.Án B.Thường'!C15,'9. Thu, chi PABT'!$K$11:$K$33,'TH P.Án B.Thường'!D15,'9. Thu, chi PABT'!$L$11:$L$33,'TH P.Án B.Thường'!E15,'9. Thu, chi PABT'!$M$11:$M$33,'TH P.Án B.Thường'!F15,'9. Thu, chi PABT'!$R$11:$R$33,"&lt;"&amp;'TH P.Án B.Thường'!$D$5,'9. Thu, chi PABT'!$F$11:$F$33,"")</f>
        <v>0</v>
      </c>
      <c r="K15" s="39">
        <f>SUMIFS('9. Thu, chi PABT'!$U$11:$U$33,'9. Thu, chi PABT'!$B$11:$B$33,'TH P.Án B.Thường'!B15,'9. Thu, chi PABT'!$J$11:$J$33,'TH P.Án B.Thường'!C15,'9. Thu, chi PABT'!$K$11:$K$33,'TH P.Án B.Thường'!D15,'9. Thu, chi PABT'!$L$11:$L$33,'TH P.Án B.Thường'!E15,'9. Thu, chi PABT'!$M$11:$M$33,'TH P.Án B.Thường'!F15,'9. Thu, chi PABT'!$R$11:$R$33,"&lt;"&amp;'TH P.Án B.Thường'!$D$5,'9. Thu, chi PABT'!$F$11:$F$33,"")</f>
        <v>0</v>
      </c>
      <c r="L15" s="41">
        <f t="shared" si="3"/>
        <v>0</v>
      </c>
      <c r="M15" s="39">
        <f>SUMIFS('9. Thu, chi PABT'!$T$11:$T$33,'9. Thu, chi PABT'!$B$11:$B$33,'TH P.Án B.Thường'!B15,'9. Thu, chi PABT'!$J$11:$J$33,'TH P.Án B.Thường'!C15,'9. Thu, chi PABT'!$K$11:$K$33,'TH P.Án B.Thường'!D15,'9. Thu, chi PABT'!$L$11:$L$33,'TH P.Án B.Thường'!E15,'9. Thu, chi PABT'!$M$11:$M$33,'TH P.Án B.Thường'!F15,'9. Thu, chi PABT'!$R$11:$R$33,"&gt;="&amp;'TH P.Án B.Thường'!$D$5,'9. Thu, chi PABT'!$R$11:$R$33,"&lt;="&amp;'TH P.Án B.Thường'!$D$6,'9. Thu, chi PABT'!$F$11:$F$33,"")</f>
        <v>0</v>
      </c>
      <c r="N15" s="39">
        <f>SUMIFS('9. Thu, chi PABT'!$U$11:$U$33,'9. Thu, chi PABT'!$B$11:$B$33,'TH P.Án B.Thường'!B15,'9. Thu, chi PABT'!$J$11:$J$33,'TH P.Án B.Thường'!C15,'9. Thu, chi PABT'!$K$11:$K$33,'TH P.Án B.Thường'!D15,'9. Thu, chi PABT'!$L$11:$L$33,'TH P.Án B.Thường'!E15,'9. Thu, chi PABT'!$M$11:$M$33,'TH P.Án B.Thường'!F15,'9. Thu, chi PABT'!$R$11:$R$33,"&gt;="&amp;'TH P.Án B.Thường'!$D$5,'9. Thu, chi PABT'!$R$11:$R$33,"&lt;="&amp;'TH P.Án B.Thường'!$D$6,'9. Thu, chi PABT'!$F$11:$F$33,"")</f>
        <v>0</v>
      </c>
      <c r="O15" s="41">
        <f t="shared" si="4"/>
        <v>0</v>
      </c>
      <c r="P15" s="41">
        <f t="shared" si="5"/>
        <v>0</v>
      </c>
      <c r="Q15" s="41">
        <f t="shared" si="6"/>
        <v>0</v>
      </c>
      <c r="S15" s="153"/>
    </row>
    <row r="16" spans="1:21" x14ac:dyDescent="0.25">
      <c r="A16" s="7" t="str">
        <f t="shared" si="1"/>
        <v/>
      </c>
      <c r="B16" s="166"/>
      <c r="C16" s="166"/>
      <c r="D16" s="166"/>
      <c r="E16" s="166"/>
      <c r="F16" s="166"/>
      <c r="G16" s="162">
        <f>SUMIFS('4. C.Tiết P.Án B.Thường'!$N$11:$N$33,'4. C.Tiết P.Án B.Thường'!$B$11:$B$33,'TH P.Án B.Thường'!B16,'4. C.Tiết P.Án B.Thường'!$J$11:$J$33,'TH P.Án B.Thường'!C16,'4. C.Tiết P.Án B.Thường'!$K$11:$K$33,'TH P.Án B.Thường'!D16,'4. C.Tiết P.Án B.Thường'!$L$11:$L$33,'TH P.Án B.Thường'!E16,'4. C.Tiết P.Án B.Thường'!$M$11:$M$33,'TH P.Án B.Thường'!F16,'4. C.Tiết P.Án B.Thường'!$C$11:$C$33,"&lt;"&amp;'TH P.Án B.Thường'!$D$5,'4. C.Tiết P.Án B.Thường'!$D$11:$D$33,"",'4. C.Tiết P.Án B.Thường'!$F$11:$F$33,"")+SUMIFS('4. C.Tiết P.Án B.Thường'!$N$11:$N$33,'4. C.Tiết P.Án B.Thường'!$B$11:$B$33,'TH P.Án B.Thường'!B16,'4. C.Tiết P.Án B.Thường'!$J$11:$J$33,'TH P.Án B.Thường'!C16,'4. C.Tiết P.Án B.Thường'!$K$11:$K$33,'TH P.Án B.Thường'!D16,'4. C.Tiết P.Án B.Thường'!$L$11:$L$33,'TH P.Án B.Thường'!E16,'4. C.Tiết P.Án B.Thường'!$M$11:$M$33,'TH P.Án B.Thường'!F16,'4. C.Tiết P.Án B.Thường'!$E$11:$E$33,"&lt;"&amp;'TH P.Án B.Thường'!$D$5,'4. C.Tiết P.Án B.Thường'!$D$11:$D$33,"&lt;&gt;"&amp;"",'4. C.Tiết P.Án B.Thường'!$F$11:$F$33,"")</f>
        <v>0</v>
      </c>
      <c r="H16" s="162">
        <f>SUMIFS('4. C.Tiết P.Án B.Thường'!$N$11:$N$33,'4. C.Tiết P.Án B.Thường'!$B$11:$B$33,'TH P.Án B.Thường'!B16,'4. C.Tiết P.Án B.Thường'!$J$11:$J$33,'TH P.Án B.Thường'!C16,'4. C.Tiết P.Án B.Thường'!$K$11:$K$33,'TH P.Án B.Thường'!D16,'4. C.Tiết P.Án B.Thường'!$L$11:$L$33,'TH P.Án B.Thường'!E16,'4. C.Tiết P.Án B.Thường'!$M$11:$M$33,'TH P.Án B.Thường'!F16,'4. C.Tiết P.Án B.Thường'!$C$11:$C$33,"&gt;="&amp;'TH P.Án B.Thường'!$D$5,'4. C.Tiết P.Án B.Thường'!$C$11:$C$33,"&lt;="&amp;'TH P.Án B.Thường'!$D$6,'4. C.Tiết P.Án B.Thường'!$D$11:$D$33,"",'4. C.Tiết P.Án B.Thường'!$F$11:$F$33,"")+SUMIFS('4. C.Tiết P.Án B.Thường'!$N$11:$N$33,'4. C.Tiết P.Án B.Thường'!$B$11:$B$33,'TH P.Án B.Thường'!B16,'4. C.Tiết P.Án B.Thường'!$J$11:$J$33,'TH P.Án B.Thường'!C16,'4. C.Tiết P.Án B.Thường'!$K$11:$K$33,'TH P.Án B.Thường'!D16,'4. C.Tiết P.Án B.Thường'!$L$11:$L$33,'TH P.Án B.Thường'!E16,'4. C.Tiết P.Án B.Thường'!$M$11:$M$33,'TH P.Án B.Thường'!F16,'4. C.Tiết P.Án B.Thường'!$E$11:$E$33,"&gt;="&amp;'TH P.Án B.Thường'!$D$5,'4. C.Tiết P.Án B.Thường'!$E$11:$E$33,"&lt;="&amp;'TH P.Án B.Thường'!$D$6,'4. C.Tiết P.Án B.Thường'!$D$11:$D$33,"&lt;&gt;"&amp;"",'4. C.Tiết P.Án B.Thường'!$F$11:$F$33,"")</f>
        <v>0</v>
      </c>
      <c r="I16" s="163">
        <f t="shared" si="2"/>
        <v>0</v>
      </c>
      <c r="J16" s="39">
        <f>SUMIFS('9. Thu, chi PABT'!$T$11:$T$33,'9. Thu, chi PABT'!$B$11:$B$33,'TH P.Án B.Thường'!B16,'9. Thu, chi PABT'!$J$11:$J$33,'TH P.Án B.Thường'!C16,'9. Thu, chi PABT'!$K$11:$K$33,'TH P.Án B.Thường'!D16,'9. Thu, chi PABT'!$L$11:$L$33,'TH P.Án B.Thường'!E16,'9. Thu, chi PABT'!$M$11:$M$33,'TH P.Án B.Thường'!F16,'9. Thu, chi PABT'!$R$11:$R$33,"&lt;"&amp;'TH P.Án B.Thường'!$D$5,'9. Thu, chi PABT'!$F$11:$F$33,"")</f>
        <v>0</v>
      </c>
      <c r="K16" s="39">
        <f>SUMIFS('9. Thu, chi PABT'!$U$11:$U$33,'9. Thu, chi PABT'!$B$11:$B$33,'TH P.Án B.Thường'!B16,'9. Thu, chi PABT'!$J$11:$J$33,'TH P.Án B.Thường'!C16,'9. Thu, chi PABT'!$K$11:$K$33,'TH P.Án B.Thường'!D16,'9. Thu, chi PABT'!$L$11:$L$33,'TH P.Án B.Thường'!E16,'9. Thu, chi PABT'!$M$11:$M$33,'TH P.Án B.Thường'!F16,'9. Thu, chi PABT'!$R$11:$R$33,"&lt;"&amp;'TH P.Án B.Thường'!$D$5,'9. Thu, chi PABT'!$F$11:$F$33,"")</f>
        <v>0</v>
      </c>
      <c r="L16" s="41">
        <f t="shared" si="3"/>
        <v>0</v>
      </c>
      <c r="M16" s="39">
        <f>SUMIFS('9. Thu, chi PABT'!$T$11:$T$33,'9. Thu, chi PABT'!$B$11:$B$33,'TH P.Án B.Thường'!B16,'9. Thu, chi PABT'!$J$11:$J$33,'TH P.Án B.Thường'!C16,'9. Thu, chi PABT'!$K$11:$K$33,'TH P.Án B.Thường'!D16,'9. Thu, chi PABT'!$L$11:$L$33,'TH P.Án B.Thường'!E16,'9. Thu, chi PABT'!$M$11:$M$33,'TH P.Án B.Thường'!F16,'9. Thu, chi PABT'!$R$11:$R$33,"&gt;="&amp;'TH P.Án B.Thường'!$D$5,'9. Thu, chi PABT'!$R$11:$R$33,"&lt;="&amp;'TH P.Án B.Thường'!$D$6,'9. Thu, chi PABT'!$F$11:$F$33,"")</f>
        <v>0</v>
      </c>
      <c r="N16" s="39">
        <f>SUMIFS('9. Thu, chi PABT'!$U$11:$U$33,'9. Thu, chi PABT'!$B$11:$B$33,'TH P.Án B.Thường'!B16,'9. Thu, chi PABT'!$J$11:$J$33,'TH P.Án B.Thường'!C16,'9. Thu, chi PABT'!$K$11:$K$33,'TH P.Án B.Thường'!D16,'9. Thu, chi PABT'!$L$11:$L$33,'TH P.Án B.Thường'!E16,'9. Thu, chi PABT'!$M$11:$M$33,'TH P.Án B.Thường'!F16,'9. Thu, chi PABT'!$R$11:$R$33,"&gt;="&amp;'TH P.Án B.Thường'!$D$5,'9. Thu, chi PABT'!$R$11:$R$33,"&lt;="&amp;'TH P.Án B.Thường'!$D$6,'9. Thu, chi PABT'!$F$11:$F$33,"")</f>
        <v>0</v>
      </c>
      <c r="O16" s="41">
        <f t="shared" si="4"/>
        <v>0</v>
      </c>
      <c r="P16" s="41">
        <f t="shared" si="5"/>
        <v>0</v>
      </c>
      <c r="Q16" s="41">
        <f t="shared" si="6"/>
        <v>0</v>
      </c>
      <c r="S16" s="153"/>
    </row>
    <row r="17" spans="1:19" x14ac:dyDescent="0.25">
      <c r="A17" s="7" t="str">
        <f t="shared" si="1"/>
        <v/>
      </c>
      <c r="B17" s="166"/>
      <c r="C17" s="166"/>
      <c r="D17" s="166"/>
      <c r="E17" s="166"/>
      <c r="F17" s="166"/>
      <c r="G17" s="162">
        <f>SUMIFS('4. C.Tiết P.Án B.Thường'!$N$11:$N$33,'4. C.Tiết P.Án B.Thường'!$B$11:$B$33,'TH P.Án B.Thường'!B17,'4. C.Tiết P.Án B.Thường'!$J$11:$J$33,'TH P.Án B.Thường'!C17,'4. C.Tiết P.Án B.Thường'!$K$11:$K$33,'TH P.Án B.Thường'!D17,'4. C.Tiết P.Án B.Thường'!$L$11:$L$33,'TH P.Án B.Thường'!E17,'4. C.Tiết P.Án B.Thường'!$M$11:$M$33,'TH P.Án B.Thường'!F17,'4. C.Tiết P.Án B.Thường'!$C$11:$C$33,"&lt;"&amp;'TH P.Án B.Thường'!$D$5,'4. C.Tiết P.Án B.Thường'!$D$11:$D$33,"",'4. C.Tiết P.Án B.Thường'!$F$11:$F$33,"")+SUMIFS('4. C.Tiết P.Án B.Thường'!$N$11:$N$33,'4. C.Tiết P.Án B.Thường'!$B$11:$B$33,'TH P.Án B.Thường'!B17,'4. C.Tiết P.Án B.Thường'!$J$11:$J$33,'TH P.Án B.Thường'!C17,'4. C.Tiết P.Án B.Thường'!$K$11:$K$33,'TH P.Án B.Thường'!D17,'4. C.Tiết P.Án B.Thường'!$L$11:$L$33,'TH P.Án B.Thường'!E17,'4. C.Tiết P.Án B.Thường'!$M$11:$M$33,'TH P.Án B.Thường'!F17,'4. C.Tiết P.Án B.Thường'!$E$11:$E$33,"&lt;"&amp;'TH P.Án B.Thường'!$D$5,'4. C.Tiết P.Án B.Thường'!$D$11:$D$33,"&lt;&gt;"&amp;"",'4. C.Tiết P.Án B.Thường'!$F$11:$F$33,"")</f>
        <v>0</v>
      </c>
      <c r="H17" s="162">
        <f>SUMIFS('4. C.Tiết P.Án B.Thường'!$N$11:$N$33,'4. C.Tiết P.Án B.Thường'!$B$11:$B$33,'TH P.Án B.Thường'!B17,'4. C.Tiết P.Án B.Thường'!$J$11:$J$33,'TH P.Án B.Thường'!C17,'4. C.Tiết P.Án B.Thường'!$K$11:$K$33,'TH P.Án B.Thường'!D17,'4. C.Tiết P.Án B.Thường'!$L$11:$L$33,'TH P.Án B.Thường'!E17,'4. C.Tiết P.Án B.Thường'!$M$11:$M$33,'TH P.Án B.Thường'!F17,'4. C.Tiết P.Án B.Thường'!$C$11:$C$33,"&gt;="&amp;'TH P.Án B.Thường'!$D$5,'4. C.Tiết P.Án B.Thường'!$C$11:$C$33,"&lt;="&amp;'TH P.Án B.Thường'!$D$6,'4. C.Tiết P.Án B.Thường'!$D$11:$D$33,"",'4. C.Tiết P.Án B.Thường'!$F$11:$F$33,"")+SUMIFS('4. C.Tiết P.Án B.Thường'!$N$11:$N$33,'4. C.Tiết P.Án B.Thường'!$B$11:$B$33,'TH P.Án B.Thường'!B17,'4. C.Tiết P.Án B.Thường'!$J$11:$J$33,'TH P.Án B.Thường'!C17,'4. C.Tiết P.Án B.Thường'!$K$11:$K$33,'TH P.Án B.Thường'!D17,'4. C.Tiết P.Án B.Thường'!$L$11:$L$33,'TH P.Án B.Thường'!E17,'4. C.Tiết P.Án B.Thường'!$M$11:$M$33,'TH P.Án B.Thường'!F17,'4. C.Tiết P.Án B.Thường'!$E$11:$E$33,"&gt;="&amp;'TH P.Án B.Thường'!$D$5,'4. C.Tiết P.Án B.Thường'!$E$11:$E$33,"&lt;="&amp;'TH P.Án B.Thường'!$D$6,'4. C.Tiết P.Án B.Thường'!$D$11:$D$33,"&lt;&gt;"&amp;"",'4. C.Tiết P.Án B.Thường'!$F$11:$F$33,"")</f>
        <v>0</v>
      </c>
      <c r="I17" s="163">
        <f t="shared" si="2"/>
        <v>0</v>
      </c>
      <c r="J17" s="39">
        <f>SUMIFS('9. Thu, chi PABT'!$T$11:$T$33,'9. Thu, chi PABT'!$B$11:$B$33,'TH P.Án B.Thường'!B17,'9. Thu, chi PABT'!$J$11:$J$33,'TH P.Án B.Thường'!C17,'9. Thu, chi PABT'!$K$11:$K$33,'TH P.Án B.Thường'!D17,'9. Thu, chi PABT'!$L$11:$L$33,'TH P.Án B.Thường'!E17,'9. Thu, chi PABT'!$M$11:$M$33,'TH P.Án B.Thường'!F17,'9. Thu, chi PABT'!$R$11:$R$33,"&lt;"&amp;'TH P.Án B.Thường'!$D$5,'9. Thu, chi PABT'!$F$11:$F$33,"")</f>
        <v>0</v>
      </c>
      <c r="K17" s="39">
        <f>SUMIFS('9. Thu, chi PABT'!$U$11:$U$33,'9. Thu, chi PABT'!$B$11:$B$33,'TH P.Án B.Thường'!B17,'9. Thu, chi PABT'!$J$11:$J$33,'TH P.Án B.Thường'!C17,'9. Thu, chi PABT'!$K$11:$K$33,'TH P.Án B.Thường'!D17,'9. Thu, chi PABT'!$L$11:$L$33,'TH P.Án B.Thường'!E17,'9. Thu, chi PABT'!$M$11:$M$33,'TH P.Án B.Thường'!F17,'9. Thu, chi PABT'!$R$11:$R$33,"&lt;"&amp;'TH P.Án B.Thường'!$D$5,'9. Thu, chi PABT'!$F$11:$F$33,"")</f>
        <v>0</v>
      </c>
      <c r="L17" s="41">
        <f t="shared" si="3"/>
        <v>0</v>
      </c>
      <c r="M17" s="39">
        <f>SUMIFS('9. Thu, chi PABT'!$T$11:$T$33,'9. Thu, chi PABT'!$B$11:$B$33,'TH P.Án B.Thường'!B17,'9. Thu, chi PABT'!$J$11:$J$33,'TH P.Án B.Thường'!C17,'9. Thu, chi PABT'!$K$11:$K$33,'TH P.Án B.Thường'!D17,'9. Thu, chi PABT'!$L$11:$L$33,'TH P.Án B.Thường'!E17,'9. Thu, chi PABT'!$M$11:$M$33,'TH P.Án B.Thường'!F17,'9. Thu, chi PABT'!$R$11:$R$33,"&gt;="&amp;'TH P.Án B.Thường'!$D$5,'9. Thu, chi PABT'!$R$11:$R$33,"&lt;="&amp;'TH P.Án B.Thường'!$D$6,'9. Thu, chi PABT'!$F$11:$F$33,"")</f>
        <v>0</v>
      </c>
      <c r="N17" s="39">
        <f>SUMIFS('9. Thu, chi PABT'!$U$11:$U$33,'9. Thu, chi PABT'!$B$11:$B$33,'TH P.Án B.Thường'!B17,'9. Thu, chi PABT'!$J$11:$J$33,'TH P.Án B.Thường'!C17,'9. Thu, chi PABT'!$K$11:$K$33,'TH P.Án B.Thường'!D17,'9. Thu, chi PABT'!$L$11:$L$33,'TH P.Án B.Thường'!E17,'9. Thu, chi PABT'!$M$11:$M$33,'TH P.Án B.Thường'!F17,'9. Thu, chi PABT'!$R$11:$R$33,"&gt;="&amp;'TH P.Án B.Thường'!$D$5,'9. Thu, chi PABT'!$R$11:$R$33,"&lt;="&amp;'TH P.Án B.Thường'!$D$6,'9. Thu, chi PABT'!$F$11:$F$33,"")</f>
        <v>0</v>
      </c>
      <c r="O17" s="41">
        <f t="shared" si="4"/>
        <v>0</v>
      </c>
      <c r="P17" s="41">
        <f t="shared" si="5"/>
        <v>0</v>
      </c>
      <c r="Q17" s="41">
        <f t="shared" si="6"/>
        <v>0</v>
      </c>
      <c r="S17" s="153"/>
    </row>
    <row r="18" spans="1:19" s="89" customFormat="1" ht="42.75" customHeight="1" x14ac:dyDescent="0.25">
      <c r="A18" s="153"/>
      <c r="B18" s="153"/>
      <c r="C18" s="153"/>
      <c r="D18" s="153"/>
      <c r="E18" s="153"/>
      <c r="F18" s="153"/>
      <c r="G18" s="153"/>
      <c r="H18" s="153"/>
      <c r="I18" s="153"/>
      <c r="J18" s="153"/>
      <c r="K18" s="153"/>
      <c r="L18" s="153"/>
      <c r="M18" s="153"/>
      <c r="N18" s="153"/>
      <c r="O18" s="153"/>
      <c r="P18" s="153"/>
      <c r="Q18" s="153"/>
      <c r="S18" s="153"/>
    </row>
    <row r="19" spans="1:19" x14ac:dyDescent="0.25">
      <c r="A19" s="153"/>
      <c r="B19" s="153"/>
      <c r="C19" s="153"/>
      <c r="D19" s="153"/>
      <c r="E19" s="153"/>
      <c r="F19" s="153"/>
      <c r="G19" s="153"/>
      <c r="H19" s="153"/>
      <c r="I19" s="153"/>
      <c r="J19" s="153"/>
      <c r="K19" s="153"/>
      <c r="L19" s="153"/>
      <c r="M19" s="153"/>
      <c r="N19" s="153"/>
      <c r="O19" s="153"/>
      <c r="P19" s="153"/>
      <c r="Q19" s="153"/>
      <c r="S19" s="153"/>
    </row>
    <row r="20" spans="1:19" x14ac:dyDescent="0.25">
      <c r="A20" s="153"/>
      <c r="B20" s="153"/>
      <c r="C20" s="153"/>
      <c r="D20" s="153"/>
      <c r="E20" s="153"/>
      <c r="F20" s="153"/>
      <c r="G20" s="153"/>
      <c r="H20" s="153"/>
      <c r="I20" s="153"/>
      <c r="J20" s="153"/>
      <c r="K20" s="153"/>
      <c r="L20" s="153"/>
      <c r="M20" s="153"/>
      <c r="N20" s="153"/>
      <c r="O20" s="153"/>
      <c r="P20" s="153"/>
      <c r="Q20" s="153"/>
    </row>
    <row r="21" spans="1:19" x14ac:dyDescent="0.25">
      <c r="A21" s="153"/>
      <c r="B21" s="153"/>
      <c r="C21" s="153"/>
      <c r="D21" s="153"/>
      <c r="E21" s="153"/>
      <c r="F21" s="153"/>
      <c r="G21" s="153"/>
      <c r="H21" s="153"/>
      <c r="I21" s="153"/>
      <c r="J21" s="153"/>
      <c r="K21" s="153"/>
      <c r="L21" s="153"/>
      <c r="M21" s="153"/>
      <c r="N21" s="153"/>
      <c r="O21" s="153"/>
      <c r="P21" s="153"/>
      <c r="Q21" s="153"/>
    </row>
    <row r="22" spans="1:19" x14ac:dyDescent="0.25">
      <c r="A22" s="153"/>
      <c r="B22" s="153"/>
      <c r="C22" s="153"/>
      <c r="D22" s="153"/>
      <c r="E22" s="153"/>
      <c r="F22" s="153"/>
      <c r="G22" s="153"/>
      <c r="H22" s="153"/>
      <c r="I22" s="153"/>
      <c r="J22" s="153"/>
      <c r="K22" s="153"/>
      <c r="L22" s="153"/>
      <c r="M22" s="153"/>
      <c r="N22" s="153"/>
      <c r="O22" s="153"/>
      <c r="P22" s="153"/>
      <c r="Q22" s="153"/>
    </row>
    <row r="23" spans="1:19" x14ac:dyDescent="0.25">
      <c r="A23" s="153"/>
      <c r="B23" s="153"/>
      <c r="C23" s="153"/>
      <c r="D23" s="153"/>
      <c r="E23" s="153"/>
      <c r="F23" s="153"/>
      <c r="G23" s="153"/>
      <c r="H23" s="153"/>
      <c r="I23" s="153"/>
      <c r="J23" s="153"/>
      <c r="K23" s="153"/>
      <c r="L23" s="153"/>
      <c r="M23" s="153"/>
      <c r="N23" s="153"/>
      <c r="O23" s="153"/>
      <c r="P23" s="153"/>
      <c r="Q23" s="153"/>
    </row>
    <row r="24" spans="1:19" x14ac:dyDescent="0.25">
      <c r="A24" s="153"/>
      <c r="B24" s="153"/>
      <c r="C24" s="153"/>
      <c r="D24" s="153"/>
      <c r="E24" s="153"/>
      <c r="F24" s="153"/>
      <c r="G24" s="153"/>
      <c r="H24" s="153"/>
      <c r="I24" s="153"/>
      <c r="J24" s="153"/>
      <c r="K24" s="153"/>
      <c r="L24" s="153"/>
      <c r="M24" s="153"/>
      <c r="N24" s="153"/>
      <c r="O24" s="153"/>
      <c r="P24" s="153"/>
      <c r="Q24" s="153"/>
    </row>
    <row r="25" spans="1:19" x14ac:dyDescent="0.25">
      <c r="A25" s="153"/>
      <c r="B25" s="153"/>
      <c r="C25" s="153"/>
      <c r="D25" s="153"/>
      <c r="E25" s="153"/>
      <c r="F25" s="153"/>
      <c r="G25" s="153"/>
      <c r="H25" s="153"/>
      <c r="I25" s="153"/>
      <c r="J25" s="153"/>
      <c r="K25" s="153"/>
      <c r="L25" s="153"/>
      <c r="M25" s="153"/>
      <c r="N25" s="153"/>
      <c r="O25" s="153"/>
      <c r="P25" s="153"/>
      <c r="Q25" s="153"/>
    </row>
    <row r="26" spans="1:19" x14ac:dyDescent="0.25">
      <c r="A26" s="153"/>
      <c r="B26" s="153"/>
      <c r="C26" s="153"/>
      <c r="D26" s="153"/>
      <c r="E26" s="153"/>
      <c r="F26" s="153"/>
      <c r="G26" s="153"/>
      <c r="H26" s="153"/>
      <c r="I26" s="153"/>
      <c r="J26" s="153"/>
      <c r="K26" s="153"/>
      <c r="L26" s="153"/>
      <c r="M26" s="153"/>
      <c r="N26" s="153"/>
      <c r="O26" s="153"/>
      <c r="P26" s="153"/>
      <c r="Q26" s="153"/>
    </row>
    <row r="27" spans="1:19" x14ac:dyDescent="0.25">
      <c r="A27" s="153"/>
      <c r="B27" s="153"/>
      <c r="C27" s="153"/>
      <c r="D27" s="153"/>
      <c r="E27" s="153"/>
      <c r="F27" s="153"/>
      <c r="G27" s="153"/>
      <c r="H27" s="153"/>
      <c r="I27" s="153"/>
      <c r="J27" s="153"/>
      <c r="K27" s="153"/>
      <c r="L27" s="153"/>
      <c r="M27" s="153"/>
      <c r="N27" s="153"/>
      <c r="O27" s="153"/>
      <c r="P27" s="153"/>
      <c r="Q27" s="153"/>
    </row>
    <row r="28" spans="1:19" x14ac:dyDescent="0.25">
      <c r="A28" s="153"/>
      <c r="B28" s="153"/>
      <c r="C28" s="153"/>
      <c r="D28" s="153"/>
      <c r="E28" s="153"/>
      <c r="F28" s="153"/>
      <c r="G28" s="153"/>
      <c r="H28" s="153"/>
      <c r="I28" s="153"/>
      <c r="J28" s="153"/>
      <c r="K28" s="153"/>
      <c r="L28" s="153"/>
      <c r="M28" s="153"/>
      <c r="N28" s="153"/>
      <c r="O28" s="153"/>
      <c r="P28" s="153"/>
      <c r="Q28" s="153"/>
    </row>
    <row r="35" spans="1:2" x14ac:dyDescent="0.25">
      <c r="A35" s="167">
        <v>3</v>
      </c>
      <c r="B35" s="167"/>
    </row>
  </sheetData>
  <mergeCells count="7">
    <mergeCell ref="T9:U10"/>
    <mergeCell ref="G7:I7"/>
    <mergeCell ref="A1:E1"/>
    <mergeCell ref="A2:E2"/>
    <mergeCell ref="A4:Q4"/>
    <mergeCell ref="J7:Q7"/>
    <mergeCell ref="A7:F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0F94-90FB-4519-84D6-AAE92E00755F}">
  <dimension ref="A1:V44"/>
  <sheetViews>
    <sheetView zoomScale="90" zoomScaleNormal="90" workbookViewId="0">
      <selection activeCell="C5" sqref="C5:D6"/>
    </sheetView>
  </sheetViews>
  <sheetFormatPr defaultColWidth="8.85546875" defaultRowHeight="15" x14ac:dyDescent="0.25"/>
  <cols>
    <col min="1" max="1" width="4.5703125" style="87" customWidth="1"/>
    <col min="2" max="2" width="10.7109375" style="89" customWidth="1"/>
    <col min="3" max="3" width="17.28515625" style="89" bestFit="1" customWidth="1"/>
    <col min="4" max="4" width="16.28515625" style="89" customWidth="1"/>
    <col min="5" max="7" width="11.5703125" style="89" customWidth="1"/>
    <col min="8" max="11" width="13.7109375" style="87" customWidth="1"/>
    <col min="12" max="12" width="11.5703125" style="87" customWidth="1"/>
    <col min="13" max="14" width="13.7109375" style="87" customWidth="1"/>
    <col min="15" max="15" width="11.5703125" style="87" customWidth="1"/>
    <col min="16" max="18" width="13.7109375" style="87" customWidth="1"/>
    <col min="19" max="16384" width="8.85546875" style="87"/>
  </cols>
  <sheetData>
    <row r="1" spans="1:22" x14ac:dyDescent="0.25">
      <c r="A1" s="169" t="s">
        <v>9</v>
      </c>
      <c r="B1" s="169"/>
      <c r="C1" s="169"/>
      <c r="D1" s="169"/>
      <c r="E1" s="169"/>
      <c r="F1" s="169"/>
      <c r="G1" s="52"/>
      <c r="H1" s="13"/>
      <c r="I1" s="13"/>
      <c r="J1" s="50"/>
      <c r="K1" s="50"/>
      <c r="L1" s="50"/>
      <c r="M1" s="50"/>
      <c r="N1" s="50"/>
      <c r="O1" s="50"/>
      <c r="P1" s="50"/>
      <c r="Q1" s="50"/>
      <c r="R1" s="50"/>
      <c r="S1" s="50"/>
      <c r="T1" s="50"/>
      <c r="U1" s="50"/>
      <c r="V1" s="50"/>
    </row>
    <row r="2" spans="1:22" x14ac:dyDescent="0.25">
      <c r="A2" s="169" t="s">
        <v>10</v>
      </c>
      <c r="B2" s="169"/>
      <c r="C2" s="169"/>
      <c r="D2" s="169"/>
      <c r="E2" s="169"/>
      <c r="F2" s="169"/>
      <c r="G2" s="52"/>
      <c r="H2" s="13"/>
      <c r="I2" s="13"/>
      <c r="J2" s="50"/>
      <c r="K2" s="50"/>
      <c r="L2" s="50"/>
      <c r="M2" s="50"/>
      <c r="N2" s="50"/>
      <c r="O2" s="50"/>
      <c r="P2" s="50"/>
      <c r="Q2" s="50"/>
      <c r="R2" s="50"/>
      <c r="S2" s="50"/>
      <c r="T2" s="50"/>
      <c r="U2" s="50"/>
      <c r="V2" s="50"/>
    </row>
    <row r="3" spans="1:22" x14ac:dyDescent="0.25">
      <c r="A3" s="16"/>
      <c r="B3" s="13"/>
      <c r="C3" s="13"/>
      <c r="D3" s="13"/>
      <c r="E3" s="26"/>
      <c r="F3" s="69"/>
      <c r="G3" s="52"/>
      <c r="H3" s="13"/>
      <c r="I3" s="13"/>
      <c r="J3" s="50"/>
      <c r="K3" s="50"/>
      <c r="L3" s="50"/>
      <c r="M3" s="50"/>
      <c r="N3" s="50"/>
      <c r="O3" s="50"/>
      <c r="P3" s="50"/>
      <c r="Q3" s="50"/>
      <c r="R3" s="50"/>
      <c r="S3" s="50"/>
      <c r="T3" s="50"/>
      <c r="U3" s="50"/>
      <c r="V3" s="50"/>
    </row>
    <row r="4" spans="1:22" ht="13.9" customHeight="1" x14ac:dyDescent="0.25">
      <c r="A4" s="169" t="s">
        <v>269</v>
      </c>
      <c r="B4" s="169"/>
      <c r="C4" s="169"/>
      <c r="D4" s="169"/>
      <c r="E4" s="169"/>
      <c r="F4" s="169"/>
      <c r="G4" s="169"/>
      <c r="H4" s="169"/>
      <c r="I4" s="169"/>
      <c r="J4" s="169"/>
      <c r="K4" s="169"/>
      <c r="L4" s="169"/>
      <c r="M4" s="169"/>
      <c r="N4" s="169"/>
      <c r="O4" s="169"/>
      <c r="P4" s="169"/>
      <c r="Q4" s="169"/>
      <c r="R4" s="169"/>
      <c r="S4" s="43"/>
      <c r="T4" s="43"/>
      <c r="U4" s="43"/>
      <c r="V4" s="43"/>
    </row>
    <row r="5" spans="1:22" ht="13.9" customHeight="1" x14ac:dyDescent="0.25">
      <c r="A5" s="13"/>
      <c r="B5" s="13"/>
      <c r="C5" s="154" t="s">
        <v>297</v>
      </c>
      <c r="D5" s="155">
        <v>45434</v>
      </c>
      <c r="E5" s="13"/>
      <c r="F5" s="13"/>
      <c r="G5" s="13"/>
      <c r="H5" s="13"/>
      <c r="I5" s="13"/>
      <c r="J5" s="13"/>
      <c r="K5" s="13"/>
      <c r="L5" s="13"/>
      <c r="M5" s="13"/>
      <c r="N5" s="13"/>
      <c r="O5" s="13"/>
      <c r="P5" s="13"/>
      <c r="Q5" s="13"/>
      <c r="R5" s="13"/>
      <c r="S5" s="43"/>
      <c r="T5" s="43"/>
      <c r="U5" s="43"/>
      <c r="V5" s="43"/>
    </row>
    <row r="6" spans="1:22" x14ac:dyDescent="0.25">
      <c r="C6" s="156" t="s">
        <v>298</v>
      </c>
      <c r="D6" s="157">
        <v>45437</v>
      </c>
    </row>
    <row r="7" spans="1:22" ht="13.9" customHeight="1" x14ac:dyDescent="0.25">
      <c r="A7" s="172" t="s">
        <v>108</v>
      </c>
      <c r="B7" s="173"/>
      <c r="C7" s="186"/>
      <c r="D7" s="181" t="s">
        <v>40</v>
      </c>
      <c r="E7" s="181"/>
      <c r="F7" s="181"/>
      <c r="G7" s="181"/>
      <c r="H7" s="182" t="s">
        <v>137</v>
      </c>
      <c r="I7" s="182"/>
      <c r="J7" s="182"/>
      <c r="K7" s="174" t="s">
        <v>103</v>
      </c>
      <c r="L7" s="175"/>
      <c r="M7" s="175"/>
      <c r="N7" s="175"/>
      <c r="O7" s="175"/>
      <c r="P7" s="175"/>
      <c r="Q7" s="175"/>
      <c r="R7" s="183"/>
    </row>
    <row r="8" spans="1:22" ht="51" x14ac:dyDescent="0.25">
      <c r="A8" s="86" t="s">
        <v>0</v>
      </c>
      <c r="B8" s="5" t="s">
        <v>217</v>
      </c>
      <c r="C8" s="5" t="s">
        <v>63</v>
      </c>
      <c r="D8" s="4" t="s">
        <v>36</v>
      </c>
      <c r="E8" s="4" t="s">
        <v>133</v>
      </c>
      <c r="F8" s="5" t="s">
        <v>154</v>
      </c>
      <c r="G8" s="5" t="s">
        <v>82</v>
      </c>
      <c r="H8" s="98" t="s">
        <v>276</v>
      </c>
      <c r="I8" s="98" t="s">
        <v>279</v>
      </c>
      <c r="J8" s="98" t="s">
        <v>286</v>
      </c>
      <c r="K8" s="98" t="s">
        <v>276</v>
      </c>
      <c r="L8" s="98" t="s">
        <v>277</v>
      </c>
      <c r="M8" s="98" t="s">
        <v>278</v>
      </c>
      <c r="N8" s="98" t="s">
        <v>279</v>
      </c>
      <c r="O8" s="98" t="s">
        <v>280</v>
      </c>
      <c r="P8" s="98" t="s">
        <v>281</v>
      </c>
      <c r="Q8" s="98" t="s">
        <v>284</v>
      </c>
      <c r="R8" s="98" t="s">
        <v>285</v>
      </c>
    </row>
    <row r="9" spans="1:22" ht="30.75" customHeight="1" x14ac:dyDescent="0.25">
      <c r="A9" s="88"/>
      <c r="B9" s="86" cm="1">
        <f t="array" ref="B9:G12">_xlfn.UNIQUE(_xlfn.VSTACK(_xlfn.HSTACK(_xlfn._xlws.FILTER('4. C.Tiết P.Án B.Thường'!$B$11:$B$33,('4. C.Tiết P.Án B.Thường'!$F$11:$F$33&lt;&gt;"")*('4. C.Tiết P.Án B.Thường'!$H$11:$H$33="")*('4. C.Tiết P.Án B.Thường'!$G$11:$G$33&lt;'TH Thưởng GPMB nhanh'!$D$6)),_xlfn._xlws.FILTER('4. C.Tiết P.Án B.Thường'!$F$11:$F$33,('4. C.Tiết P.Án B.Thường'!$F$11:$F$33&lt;&gt;"")*('4. C.Tiết P.Án B.Thường'!$H$11:$H$33="")*('4. C.Tiết P.Án B.Thường'!$G$11:$G$33&lt;'TH Thưởng GPMB nhanh'!$D$6)),_xlfn._xlws.FILTER('4. C.Tiết P.Án B.Thường'!$J$11:$M$33,('4. C.Tiết P.Án B.Thường'!$F$11:$F$33&lt;&gt;"")*('4. C.Tiết P.Án B.Thường'!$H$11:$H$33="")*('4. C.Tiết P.Án B.Thường'!$G$11:$G$33&lt;'TH Thưởng GPMB nhanh'!$D$6))),_xlfn.HSTACK(_xlfn._xlws.FILTER('4. C.Tiết P.Án B.Thường'!$B$11:$B$33,('4. C.Tiết P.Án B.Thường'!$F$11:$F$33&lt;&gt;"")*('4. C.Tiết P.Án B.Thường'!$H$11:$H$33&lt;&gt;"")*('4. C.Tiết P.Án B.Thường'!$I$11:$I$33&lt;'TH Thưởng GPMB nhanh'!$D$6)),_xlfn._xlws.FILTER('4. C.Tiết P.Án B.Thường'!$F$11:$F$33,('4. C.Tiết P.Án B.Thường'!$F$11:$F$33&lt;&gt;"")*('4. C.Tiết P.Án B.Thường'!$H$11:$H$33&lt;&gt;"")*('4. C.Tiết P.Án B.Thường'!$I$11:$I$33&lt;'TH Thưởng GPMB nhanh'!$D$6)),_xlfn._xlws.FILTER('4. C.Tiết P.Án B.Thường'!$J$11:$M$33,('4. C.Tiết P.Án B.Thường'!$F$11:$F$33&lt;&gt;"")*('4. C.Tiết P.Án B.Thường'!$H$11:$H$33&lt;&gt;"")*('4. C.Tiết P.Án B.Thường'!$I$11:$I$33&lt;'TH Thưởng GPMB nhanh'!$D$6))),_xlfn.HSTACK(_xlfn._xlws.FILTER('9. Thu, chi PABT'!$B$11:$B$33,('9. Thu, chi PABT'!$F$11:$F$33&lt;&gt;"")*('9. Thu, chi PABT'!$R$11:$R$33&lt;'TH Thưởng GPMB nhanh'!$D$6)),_xlfn._xlws.FILTER('9. Thu, chi PABT'!$F$11:$F$33,('9. Thu, chi PABT'!$F$11:$F$33&lt;&gt;"")*('9. Thu, chi PABT'!$R$11:$R$33&lt;'TH Thưởng GPMB nhanh'!$D$6)),_xlfn._xlws.FILTER('9. Thu, chi PABT'!$J$11:$M$33,('9. Thu, chi PABT'!$F$11:$F$33&lt;&gt;"")*('9. Thu, chi PABT'!$R$11:$R$33&lt;'TH Thưởng GPMB nhanh'!$D$6)))))</f>
        <v>110</v>
      </c>
      <c r="C9" s="86" t="str">
        <v>Tạm ứng</v>
      </c>
      <c r="D9" s="86" t="str">
        <v>Nguyễn Đức Anh</v>
      </c>
      <c r="E9" s="86" t="str">
        <v>Tiên Cát</v>
      </c>
      <c r="F9" s="86" t="str">
        <v>Minh Hà</v>
      </c>
      <c r="G9" s="86" t="str">
        <v>123A</v>
      </c>
      <c r="H9" s="152">
        <f>SUMIFS('4. C.Tiết P.Án B.Thường'!$O$11:$O$33,'4. C.Tiết P.Án B.Thường'!$B$11:$B$33,'TH Thưởng GPMB nhanh'!B9,'4. C.Tiết P.Án B.Thường'!$F$11:$F$33,'TH Thưởng GPMB nhanh'!C9,'4. C.Tiết P.Án B.Thường'!$J$11:$J$33,'TH Thưởng GPMB nhanh'!D9,'4. C.Tiết P.Án B.Thường'!$K$11:$K$33,'TH Thưởng GPMB nhanh'!E9,'4. C.Tiết P.Án B.Thường'!$L$11:$L$33,'TH Thưởng GPMB nhanh'!F9,'4. C.Tiết P.Án B.Thường'!$M$11:$M$33,'TH Thưởng GPMB nhanh'!G9,'4. C.Tiết P.Án B.Thường'!$G$11:$G$33,"&lt;"&amp;'TH Thưởng GPMB nhanh'!$D$5,'4. C.Tiết P.Án B.Thường'!$H$11:$H$33,"")+SUMIFS('4. C.Tiết P.Án B.Thường'!$O$11:$O$33,'4. C.Tiết P.Án B.Thường'!$B$11:$B$33,'TH Thưởng GPMB nhanh'!B9,'4. C.Tiết P.Án B.Thường'!$F$11:$F$33,'TH Thưởng GPMB nhanh'!C9,'4. C.Tiết P.Án B.Thường'!$J$11:$J$33,'TH Thưởng GPMB nhanh'!D9,'4. C.Tiết P.Án B.Thường'!$K$11:$K$33,'TH Thưởng GPMB nhanh'!E9,'4. C.Tiết P.Án B.Thường'!$L$11:$L$33,'TH Thưởng GPMB nhanh'!F9,'4. C.Tiết P.Án B.Thường'!$M$11:$M$33,'TH Thưởng GPMB nhanh'!G9,'4. C.Tiết P.Án B.Thường'!$I$11:$I$33,"&lt;"&amp;'TH Thưởng GPMB nhanh'!$D$5,'4. C.Tiết P.Án B.Thường'!$H$11:$H$33,"&lt;&gt;"&amp;"")</f>
        <v>50000000</v>
      </c>
      <c r="I9" s="152">
        <f>SUMIFS('4. C.Tiết P.Án B.Thường'!$O$11:$O$33,'4. C.Tiết P.Án B.Thường'!$B$11:$B$33,'TH Thưởng GPMB nhanh'!B9,'4. C.Tiết P.Án B.Thường'!$F$11:$F$33,'TH Thưởng GPMB nhanh'!C9,'4. C.Tiết P.Án B.Thường'!$J$11:$J$33,'TH Thưởng GPMB nhanh'!D9,'4. C.Tiết P.Án B.Thường'!$K$11:$K$33,'TH Thưởng GPMB nhanh'!E9,'4. C.Tiết P.Án B.Thường'!$L$11:$L$33,'TH Thưởng GPMB nhanh'!F9,'4. C.Tiết P.Án B.Thường'!$M$11:$M$33,'TH Thưởng GPMB nhanh'!G9,'4. C.Tiết P.Án B.Thường'!$G$11:$G$33,"&gt;="&amp;'TH Thưởng GPMB nhanh'!$D$5,'4. C.Tiết P.Án B.Thường'!$G$11:$G$33,"&lt;="&amp;'TH Thưởng GPMB nhanh'!$D$6,'4. C.Tiết P.Án B.Thường'!$H$11:$H$33,"")+SUMIFS('4. C.Tiết P.Án B.Thường'!$O$11:$O$33,'4. C.Tiết P.Án B.Thường'!$B$11:$B$33,'TH Thưởng GPMB nhanh'!B9,'4. C.Tiết P.Án B.Thường'!$F$11:$F$33,'TH Thưởng GPMB nhanh'!C9,'4. C.Tiết P.Án B.Thường'!$J$11:$J$33,'TH Thưởng GPMB nhanh'!D9,'4. C.Tiết P.Án B.Thường'!$K$11:$K$33,'TH Thưởng GPMB nhanh'!E9,'4. C.Tiết P.Án B.Thường'!$L$11:$L$33,'TH Thưởng GPMB nhanh'!F9,'4. C.Tiết P.Án B.Thường'!$M$11:$M$33,'TH Thưởng GPMB nhanh'!G9,'4. C.Tiết P.Án B.Thường'!$I$11:$I$33,"&gt;="&amp;'TH Thưởng GPMB nhanh'!$D$5,'4. C.Tiết P.Án B.Thường'!$I$11:$I$33,"&lt;="&amp;'TH Thưởng GPMB nhanh'!$D$6,'4. C.Tiết P.Án B.Thường'!$H$11:$H$33,"&lt;&gt;"&amp;"")</f>
        <v>0</v>
      </c>
      <c r="J9" s="130">
        <f>H9+I9</f>
        <v>50000000</v>
      </c>
      <c r="K9" s="152">
        <f>SUMIFS('9. Thu, chi PABT'!$T$11:$T$33,'9. Thu, chi PABT'!$B$11:$B$33,'TH Thưởng GPMB nhanh'!B9,'9. Thu, chi PABT'!$F$11:$F$33,'TH Thưởng GPMB nhanh'!C9,'9. Thu, chi PABT'!$J$11:$J$33,'TH Thưởng GPMB nhanh'!D9,'9. Thu, chi PABT'!$K$11:$K$33,'TH Thưởng GPMB nhanh'!E9,'9. Thu, chi PABT'!$L$11:$L$33,'TH Thưởng GPMB nhanh'!F9,'9. Thu, chi PABT'!$M$11:$M$33,'TH Thưởng GPMB nhanh'!G9,'9. Thu, chi PABT'!$R$11:$R$33,"&lt;"&amp;'TH Thưởng GPMB nhanh'!$D$5)</f>
        <v>50000000</v>
      </c>
      <c r="L9" s="152">
        <f>SUMIFS('9. Thu, chi PABT'!$U$11:$U$33,'9. Thu, chi PABT'!$B$11:$B$33,'TH Thưởng GPMB nhanh'!B9,'9. Thu, chi PABT'!$F$11:$F$33,'TH Thưởng GPMB nhanh'!C9,'9. Thu, chi PABT'!$J$11:$J$33,'TH Thưởng GPMB nhanh'!D9,'9. Thu, chi PABT'!$K$11:$K$33,'TH Thưởng GPMB nhanh'!E9,'9. Thu, chi PABT'!$L$11:$L$33,'TH Thưởng GPMB nhanh'!F9,'9. Thu, chi PABT'!$M$11:$M$33,'TH Thưởng GPMB nhanh'!G9,'9. Thu, chi PABT'!$R$11:$R$33,"&lt;"&amp;'TH Thưởng GPMB nhanh'!$D$5)</f>
        <v>0</v>
      </c>
      <c r="M9" s="130">
        <f>K9-L9</f>
        <v>50000000</v>
      </c>
      <c r="N9" s="152">
        <f>SUMIFS('9. Thu, chi PABT'!$T$11:$T$33,'9. Thu, chi PABT'!$B$11:$B$33,'TH Thưởng GPMB nhanh'!B9,'9. Thu, chi PABT'!$F$11:$F$33,'TH Thưởng GPMB nhanh'!C9,'9. Thu, chi PABT'!$J$11:$J$33,'TH Thưởng GPMB nhanh'!D9,'9. Thu, chi PABT'!$K$11:$K$33,'TH Thưởng GPMB nhanh'!E9,'9. Thu, chi PABT'!$L$11:$L$33,'TH Thưởng GPMB nhanh'!F9,'9. Thu, chi PABT'!$M$11:$M$33,'TH Thưởng GPMB nhanh'!G9,'9. Thu, chi PABT'!$R$11:$R$33,"&gt;="&amp;'TH Thưởng GPMB nhanh'!$D$5,'9. Thu, chi PABT'!$R$11:$R$33,"&lt;="&amp;'TH Thưởng GPMB nhanh'!$D$6)</f>
        <v>0</v>
      </c>
      <c r="O9" s="152">
        <f>SUMIFS('9. Thu, chi PABT'!$U$11:$U$33,'9. Thu, chi PABT'!$B$11:$B$33,'TH Thưởng GPMB nhanh'!B9,'9. Thu, chi PABT'!$F$11:$F$33,'TH Thưởng GPMB nhanh'!C9,'9. Thu, chi PABT'!$J$11:$J$33,'TH Thưởng GPMB nhanh'!D9,'9. Thu, chi PABT'!$K$11:$K$33,'TH Thưởng GPMB nhanh'!E9,'9. Thu, chi PABT'!$L$11:$L$33,'TH Thưởng GPMB nhanh'!F9,'9. Thu, chi PABT'!$M$11:$M$33,'TH Thưởng GPMB nhanh'!G9,'9. Thu, chi PABT'!$R$11:$R$33,"&gt;="&amp;'TH Thưởng GPMB nhanh'!$D$5,'9. Thu, chi PABT'!$R$11:$R$33,"&lt;="&amp;'TH Thưởng GPMB nhanh'!$D$6)</f>
        <v>0</v>
      </c>
      <c r="P9" s="130">
        <f>N9-O9</f>
        <v>0</v>
      </c>
      <c r="Q9" s="130">
        <f>M9+P9</f>
        <v>50000000</v>
      </c>
      <c r="R9" s="130">
        <f>J9-Q9</f>
        <v>0</v>
      </c>
    </row>
    <row r="10" spans="1:22" ht="28.5" x14ac:dyDescent="0.25">
      <c r="A10" s="88"/>
      <c r="B10" s="86">
        <v>120</v>
      </c>
      <c r="C10" s="86">
        <v>220</v>
      </c>
      <c r="D10" s="86" t="str">
        <v>Nguyễn Đức Anh</v>
      </c>
      <c r="E10" s="86" t="str">
        <v>Tiên Cát</v>
      </c>
      <c r="F10" s="86" t="str">
        <v>Minh Hà</v>
      </c>
      <c r="G10" s="86" t="str">
        <v>123A</v>
      </c>
      <c r="H10" s="152">
        <f>SUMIFS('4. C.Tiết P.Án B.Thường'!$O$11:$O$33,'4. C.Tiết P.Án B.Thường'!$B$11:$B$33,'TH Thưởng GPMB nhanh'!B10,'4. C.Tiết P.Án B.Thường'!$F$11:$F$33,'TH Thưởng GPMB nhanh'!C10,'4. C.Tiết P.Án B.Thường'!$J$11:$J$33,'TH Thưởng GPMB nhanh'!D10,'4. C.Tiết P.Án B.Thường'!$K$11:$K$33,'TH Thưởng GPMB nhanh'!E10,'4. C.Tiết P.Án B.Thường'!$L$11:$L$33,'TH Thưởng GPMB nhanh'!F10,'4. C.Tiết P.Án B.Thường'!$M$11:$M$33,'TH Thưởng GPMB nhanh'!G10,'4. C.Tiết P.Án B.Thường'!$G$11:$G$33,"&lt;"&amp;'TH Thưởng GPMB nhanh'!$D$5,'4. C.Tiết P.Án B.Thường'!$H$11:$H$33,"")+SUMIFS('4. C.Tiết P.Án B.Thường'!$O$11:$O$33,'4. C.Tiết P.Án B.Thường'!$B$11:$B$33,'TH Thưởng GPMB nhanh'!B10,'4. C.Tiết P.Án B.Thường'!$F$11:$F$33,'TH Thưởng GPMB nhanh'!C10,'4. C.Tiết P.Án B.Thường'!$J$11:$J$33,'TH Thưởng GPMB nhanh'!D10,'4. C.Tiết P.Án B.Thường'!$K$11:$K$33,'TH Thưởng GPMB nhanh'!E10,'4. C.Tiết P.Án B.Thường'!$L$11:$L$33,'TH Thưởng GPMB nhanh'!F10,'4. C.Tiết P.Án B.Thường'!$M$11:$M$33,'TH Thưởng GPMB nhanh'!G10,'4. C.Tiết P.Án B.Thường'!$I$11:$I$33,"&lt;"&amp;'TH Thưởng GPMB nhanh'!$D$5,'4. C.Tiết P.Án B.Thường'!$H$11:$H$33,"&lt;&gt;"&amp;"")</f>
        <v>90000000</v>
      </c>
      <c r="I10" s="152">
        <f>SUMIFS('4. C.Tiết P.Án B.Thường'!$O$11:$O$33,'4. C.Tiết P.Án B.Thường'!$B$11:$B$33,'TH Thưởng GPMB nhanh'!B10,'4. C.Tiết P.Án B.Thường'!$F$11:$F$33,'TH Thưởng GPMB nhanh'!C10,'4. C.Tiết P.Án B.Thường'!$J$11:$J$33,'TH Thưởng GPMB nhanh'!D10,'4. C.Tiết P.Án B.Thường'!$K$11:$K$33,'TH Thưởng GPMB nhanh'!E10,'4. C.Tiết P.Án B.Thường'!$L$11:$L$33,'TH Thưởng GPMB nhanh'!F10,'4. C.Tiết P.Án B.Thường'!$M$11:$M$33,'TH Thưởng GPMB nhanh'!G10,'4. C.Tiết P.Án B.Thường'!$G$11:$G$33,"&gt;="&amp;'TH Thưởng GPMB nhanh'!$D$5,'4. C.Tiết P.Án B.Thường'!$G$11:$G$33,"&lt;="&amp;'TH Thưởng GPMB nhanh'!$D$6,'4. C.Tiết P.Án B.Thường'!$H$11:$H$33,"")+SUMIFS('4. C.Tiết P.Án B.Thường'!$O$11:$O$33,'4. C.Tiết P.Án B.Thường'!$B$11:$B$33,'TH Thưởng GPMB nhanh'!B10,'4. C.Tiết P.Án B.Thường'!$F$11:$F$33,'TH Thưởng GPMB nhanh'!C10,'4. C.Tiết P.Án B.Thường'!$J$11:$J$33,'TH Thưởng GPMB nhanh'!D10,'4. C.Tiết P.Án B.Thường'!$K$11:$K$33,'TH Thưởng GPMB nhanh'!E10,'4. C.Tiết P.Án B.Thường'!$L$11:$L$33,'TH Thưởng GPMB nhanh'!F10,'4. C.Tiết P.Án B.Thường'!$M$11:$M$33,'TH Thưởng GPMB nhanh'!G10,'4. C.Tiết P.Án B.Thường'!$I$11:$I$33,"&gt;="&amp;'TH Thưởng GPMB nhanh'!$D$5,'4. C.Tiết P.Án B.Thường'!$I$11:$I$33,"&lt;="&amp;'TH Thưởng GPMB nhanh'!$D$6,'4. C.Tiết P.Án B.Thường'!$H$11:$H$33,"&lt;&gt;"&amp;"")</f>
        <v>0</v>
      </c>
      <c r="J10" s="130">
        <f t="shared" ref="J10:J17" si="0">H10+I10</f>
        <v>90000000</v>
      </c>
      <c r="K10" s="152">
        <f>SUMIFS('9. Thu, chi PABT'!$T$11:$T$33,'9. Thu, chi PABT'!$B$11:$B$33,'TH Thưởng GPMB nhanh'!B10,'9. Thu, chi PABT'!$F$11:$F$33,'TH Thưởng GPMB nhanh'!C10,'9. Thu, chi PABT'!$J$11:$J$33,'TH Thưởng GPMB nhanh'!D10,'9. Thu, chi PABT'!$K$11:$K$33,'TH Thưởng GPMB nhanh'!E10,'9. Thu, chi PABT'!$L$11:$L$33,'TH Thưởng GPMB nhanh'!F10,'9. Thu, chi PABT'!$M$11:$M$33,'TH Thưởng GPMB nhanh'!G10,'9. Thu, chi PABT'!$R$11:$R$33,"&lt;"&amp;'TH Thưởng GPMB nhanh'!$D$5)</f>
        <v>90000000</v>
      </c>
      <c r="L10" s="152">
        <f>SUMIFS('9. Thu, chi PABT'!$U$11:$U$33,'9. Thu, chi PABT'!$B$11:$B$33,'TH Thưởng GPMB nhanh'!B10,'9. Thu, chi PABT'!$F$11:$F$33,'TH Thưởng GPMB nhanh'!C10,'9. Thu, chi PABT'!$J$11:$J$33,'TH Thưởng GPMB nhanh'!D10,'9. Thu, chi PABT'!$K$11:$K$33,'TH Thưởng GPMB nhanh'!E10,'9. Thu, chi PABT'!$L$11:$L$33,'TH Thưởng GPMB nhanh'!F10,'9. Thu, chi PABT'!$M$11:$M$33,'TH Thưởng GPMB nhanh'!G10,'9. Thu, chi PABT'!$R$11:$R$33,"&lt;"&amp;'TH Thưởng GPMB nhanh'!$D$5)</f>
        <v>0</v>
      </c>
      <c r="M10" s="130">
        <f t="shared" ref="M10:M17" si="1">K10-L10</f>
        <v>90000000</v>
      </c>
      <c r="N10" s="152">
        <f>SUMIFS('9. Thu, chi PABT'!$T$11:$T$33,'9. Thu, chi PABT'!$B$11:$B$33,'TH Thưởng GPMB nhanh'!B10,'9. Thu, chi PABT'!$F$11:$F$33,'TH Thưởng GPMB nhanh'!C10,'9. Thu, chi PABT'!$J$11:$J$33,'TH Thưởng GPMB nhanh'!D10,'9. Thu, chi PABT'!$K$11:$K$33,'TH Thưởng GPMB nhanh'!E10,'9. Thu, chi PABT'!$L$11:$L$33,'TH Thưởng GPMB nhanh'!F10,'9. Thu, chi PABT'!$M$11:$M$33,'TH Thưởng GPMB nhanh'!G10,'9. Thu, chi PABT'!$R$11:$R$33,"&gt;="&amp;'TH Thưởng GPMB nhanh'!$D$5,'9. Thu, chi PABT'!$R$11:$R$33,"&lt;="&amp;'TH Thưởng GPMB nhanh'!$D$6)</f>
        <v>0</v>
      </c>
      <c r="O10" s="152">
        <f>SUMIFS('9. Thu, chi PABT'!$U$11:$U$33,'9. Thu, chi PABT'!$B$11:$B$33,'TH Thưởng GPMB nhanh'!B10,'9. Thu, chi PABT'!$F$11:$F$33,'TH Thưởng GPMB nhanh'!C10,'9. Thu, chi PABT'!$J$11:$J$33,'TH Thưởng GPMB nhanh'!D10,'9. Thu, chi PABT'!$K$11:$K$33,'TH Thưởng GPMB nhanh'!E10,'9. Thu, chi PABT'!$L$11:$L$33,'TH Thưởng GPMB nhanh'!F10,'9. Thu, chi PABT'!$M$11:$M$33,'TH Thưởng GPMB nhanh'!G10,'9. Thu, chi PABT'!$R$11:$R$33,"&gt;="&amp;'TH Thưởng GPMB nhanh'!$D$5,'9. Thu, chi PABT'!$R$11:$R$33,"&lt;="&amp;'TH Thưởng GPMB nhanh'!$D$6)</f>
        <v>0</v>
      </c>
      <c r="P10" s="130">
        <f t="shared" ref="P10:P17" si="2">N10-O10</f>
        <v>0</v>
      </c>
      <c r="Q10" s="130">
        <f t="shared" ref="Q10:Q17" si="3">M10+P10</f>
        <v>90000000</v>
      </c>
      <c r="R10" s="130">
        <f t="shared" ref="R10:R17" si="4">J10-Q10</f>
        <v>0</v>
      </c>
    </row>
    <row r="11" spans="1:22" ht="28.5" x14ac:dyDescent="0.25">
      <c r="A11" s="88"/>
      <c r="B11" s="86">
        <v>130</v>
      </c>
      <c r="C11" s="86">
        <v>230</v>
      </c>
      <c r="D11" s="86" t="str">
        <v>Nguyễn Đức Anh</v>
      </c>
      <c r="E11" s="86" t="str">
        <v>Tiên Cát</v>
      </c>
      <c r="F11" s="86" t="str">
        <v>Minh Hà</v>
      </c>
      <c r="G11" s="86" t="str">
        <v>123A</v>
      </c>
      <c r="H11" s="152">
        <f>SUMIFS('4. C.Tiết P.Án B.Thường'!$O$11:$O$33,'4. C.Tiết P.Án B.Thường'!$B$11:$B$33,'TH Thưởng GPMB nhanh'!B11,'4. C.Tiết P.Án B.Thường'!$F$11:$F$33,'TH Thưởng GPMB nhanh'!C11,'4. C.Tiết P.Án B.Thường'!$J$11:$J$33,'TH Thưởng GPMB nhanh'!D11,'4. C.Tiết P.Án B.Thường'!$K$11:$K$33,'TH Thưởng GPMB nhanh'!E11,'4. C.Tiết P.Án B.Thường'!$L$11:$L$33,'TH Thưởng GPMB nhanh'!F11,'4. C.Tiết P.Án B.Thường'!$M$11:$M$33,'TH Thưởng GPMB nhanh'!G11,'4. C.Tiết P.Án B.Thường'!$G$11:$G$33,"&lt;"&amp;'TH Thưởng GPMB nhanh'!$D$5,'4. C.Tiết P.Án B.Thường'!$H$11:$H$33,"")+SUMIFS('4. C.Tiết P.Án B.Thường'!$O$11:$O$33,'4. C.Tiết P.Án B.Thường'!$B$11:$B$33,'TH Thưởng GPMB nhanh'!B11,'4. C.Tiết P.Án B.Thường'!$F$11:$F$33,'TH Thưởng GPMB nhanh'!C11,'4. C.Tiết P.Án B.Thường'!$J$11:$J$33,'TH Thưởng GPMB nhanh'!D11,'4. C.Tiết P.Án B.Thường'!$K$11:$K$33,'TH Thưởng GPMB nhanh'!E11,'4. C.Tiết P.Án B.Thường'!$L$11:$L$33,'TH Thưởng GPMB nhanh'!F11,'4. C.Tiết P.Án B.Thường'!$M$11:$M$33,'TH Thưởng GPMB nhanh'!G11,'4. C.Tiết P.Án B.Thường'!$I$11:$I$33,"&lt;"&amp;'TH Thưởng GPMB nhanh'!$D$5,'4. C.Tiết P.Án B.Thường'!$H$11:$H$33,"&lt;&gt;"&amp;"")</f>
        <v>210000000</v>
      </c>
      <c r="I11" s="152">
        <f>SUMIFS('4. C.Tiết P.Án B.Thường'!$O$11:$O$33,'4. C.Tiết P.Án B.Thường'!$B$11:$B$33,'TH Thưởng GPMB nhanh'!B11,'4. C.Tiết P.Án B.Thường'!$F$11:$F$33,'TH Thưởng GPMB nhanh'!C11,'4. C.Tiết P.Án B.Thường'!$J$11:$J$33,'TH Thưởng GPMB nhanh'!D11,'4. C.Tiết P.Án B.Thường'!$K$11:$K$33,'TH Thưởng GPMB nhanh'!E11,'4. C.Tiết P.Án B.Thường'!$L$11:$L$33,'TH Thưởng GPMB nhanh'!F11,'4. C.Tiết P.Án B.Thường'!$M$11:$M$33,'TH Thưởng GPMB nhanh'!G11,'4. C.Tiết P.Án B.Thường'!$G$11:$G$33,"&gt;="&amp;'TH Thưởng GPMB nhanh'!$D$5,'4. C.Tiết P.Án B.Thường'!$G$11:$G$33,"&lt;="&amp;'TH Thưởng GPMB nhanh'!$D$6,'4. C.Tiết P.Án B.Thường'!$H$11:$H$33,"")+SUMIFS('4. C.Tiết P.Án B.Thường'!$O$11:$O$33,'4. C.Tiết P.Án B.Thường'!$B$11:$B$33,'TH Thưởng GPMB nhanh'!B11,'4. C.Tiết P.Án B.Thường'!$F$11:$F$33,'TH Thưởng GPMB nhanh'!C11,'4. C.Tiết P.Án B.Thường'!$J$11:$J$33,'TH Thưởng GPMB nhanh'!D11,'4. C.Tiết P.Án B.Thường'!$K$11:$K$33,'TH Thưởng GPMB nhanh'!E11,'4. C.Tiết P.Án B.Thường'!$L$11:$L$33,'TH Thưởng GPMB nhanh'!F11,'4. C.Tiết P.Án B.Thường'!$M$11:$M$33,'TH Thưởng GPMB nhanh'!G11,'4. C.Tiết P.Án B.Thường'!$I$11:$I$33,"&gt;="&amp;'TH Thưởng GPMB nhanh'!$D$5,'4. C.Tiết P.Án B.Thường'!$I$11:$I$33,"&lt;="&amp;'TH Thưởng GPMB nhanh'!$D$6,'4. C.Tiết P.Án B.Thường'!$H$11:$H$33,"&lt;&gt;"&amp;"")</f>
        <v>0</v>
      </c>
      <c r="J11" s="130">
        <f t="shared" si="0"/>
        <v>210000000</v>
      </c>
      <c r="K11" s="152">
        <f>SUMIFS('9. Thu, chi PABT'!$T$11:$T$33,'9. Thu, chi PABT'!$B$11:$B$33,'TH Thưởng GPMB nhanh'!B11,'9. Thu, chi PABT'!$F$11:$F$33,'TH Thưởng GPMB nhanh'!C11,'9. Thu, chi PABT'!$J$11:$J$33,'TH Thưởng GPMB nhanh'!D11,'9. Thu, chi PABT'!$K$11:$K$33,'TH Thưởng GPMB nhanh'!E11,'9. Thu, chi PABT'!$L$11:$L$33,'TH Thưởng GPMB nhanh'!F11,'9. Thu, chi PABT'!$M$11:$M$33,'TH Thưởng GPMB nhanh'!G11,'9. Thu, chi PABT'!$R$11:$R$33,"&lt;"&amp;'TH Thưởng GPMB nhanh'!$D$5)</f>
        <v>210000000</v>
      </c>
      <c r="L11" s="152">
        <f>SUMIFS('9. Thu, chi PABT'!$U$11:$U$33,'9. Thu, chi PABT'!$B$11:$B$33,'TH Thưởng GPMB nhanh'!B11,'9. Thu, chi PABT'!$F$11:$F$33,'TH Thưởng GPMB nhanh'!C11,'9. Thu, chi PABT'!$J$11:$J$33,'TH Thưởng GPMB nhanh'!D11,'9. Thu, chi PABT'!$K$11:$K$33,'TH Thưởng GPMB nhanh'!E11,'9. Thu, chi PABT'!$L$11:$L$33,'TH Thưởng GPMB nhanh'!F11,'9. Thu, chi PABT'!$M$11:$M$33,'TH Thưởng GPMB nhanh'!G11,'9. Thu, chi PABT'!$R$11:$R$33,"&lt;"&amp;'TH Thưởng GPMB nhanh'!$D$5)</f>
        <v>0</v>
      </c>
      <c r="M11" s="130">
        <f t="shared" si="1"/>
        <v>210000000</v>
      </c>
      <c r="N11" s="152">
        <f>SUMIFS('9. Thu, chi PABT'!$T$11:$T$33,'9. Thu, chi PABT'!$B$11:$B$33,'TH Thưởng GPMB nhanh'!B11,'9. Thu, chi PABT'!$F$11:$F$33,'TH Thưởng GPMB nhanh'!C11,'9. Thu, chi PABT'!$J$11:$J$33,'TH Thưởng GPMB nhanh'!D11,'9. Thu, chi PABT'!$K$11:$K$33,'TH Thưởng GPMB nhanh'!E11,'9. Thu, chi PABT'!$L$11:$L$33,'TH Thưởng GPMB nhanh'!F11,'9. Thu, chi PABT'!$M$11:$M$33,'TH Thưởng GPMB nhanh'!G11,'9. Thu, chi PABT'!$R$11:$R$33,"&gt;="&amp;'TH Thưởng GPMB nhanh'!$D$5,'9. Thu, chi PABT'!$R$11:$R$33,"&lt;="&amp;'TH Thưởng GPMB nhanh'!$D$6)</f>
        <v>0</v>
      </c>
      <c r="O11" s="152">
        <f>SUMIFS('9. Thu, chi PABT'!$U$11:$U$33,'9. Thu, chi PABT'!$B$11:$B$33,'TH Thưởng GPMB nhanh'!B11,'9. Thu, chi PABT'!$F$11:$F$33,'TH Thưởng GPMB nhanh'!C11,'9. Thu, chi PABT'!$J$11:$J$33,'TH Thưởng GPMB nhanh'!D11,'9. Thu, chi PABT'!$K$11:$K$33,'TH Thưởng GPMB nhanh'!E11,'9. Thu, chi PABT'!$L$11:$L$33,'TH Thưởng GPMB nhanh'!F11,'9. Thu, chi PABT'!$M$11:$M$33,'TH Thưởng GPMB nhanh'!G11,'9. Thu, chi PABT'!$R$11:$R$33,"&gt;="&amp;'TH Thưởng GPMB nhanh'!$D$5,'9. Thu, chi PABT'!$R$11:$R$33,"&lt;="&amp;'TH Thưởng GPMB nhanh'!$D$6)</f>
        <v>0</v>
      </c>
      <c r="P11" s="130">
        <f t="shared" si="2"/>
        <v>0</v>
      </c>
      <c r="Q11" s="130">
        <f t="shared" si="3"/>
        <v>210000000</v>
      </c>
      <c r="R11" s="130">
        <f t="shared" si="4"/>
        <v>0</v>
      </c>
    </row>
    <row r="12" spans="1:22" ht="28.5" x14ac:dyDescent="0.25">
      <c r="A12" s="88"/>
      <c r="B12" s="86">
        <v>140</v>
      </c>
      <c r="C12" s="86">
        <v>240</v>
      </c>
      <c r="D12" s="86" t="str">
        <v>Nguyễn Đức Anh</v>
      </c>
      <c r="E12" s="86" t="str">
        <v>Tiên Cát</v>
      </c>
      <c r="F12" s="86" t="str">
        <v>Minh Hà</v>
      </c>
      <c r="G12" s="86" t="str">
        <v>123A</v>
      </c>
      <c r="H12" s="152">
        <f>SUMIFS('4. C.Tiết P.Án B.Thường'!$O$11:$O$33,'4. C.Tiết P.Án B.Thường'!$B$11:$B$33,'TH Thưởng GPMB nhanh'!B12,'4. C.Tiết P.Án B.Thường'!$F$11:$F$33,'TH Thưởng GPMB nhanh'!C12,'4. C.Tiết P.Án B.Thường'!$J$11:$J$33,'TH Thưởng GPMB nhanh'!D12,'4. C.Tiết P.Án B.Thường'!$K$11:$K$33,'TH Thưởng GPMB nhanh'!E12,'4. C.Tiết P.Án B.Thường'!$L$11:$L$33,'TH Thưởng GPMB nhanh'!F12,'4. C.Tiết P.Án B.Thường'!$M$11:$M$33,'TH Thưởng GPMB nhanh'!G12,'4. C.Tiết P.Án B.Thường'!$G$11:$G$33,"&lt;"&amp;'TH Thưởng GPMB nhanh'!$D$5,'4. C.Tiết P.Án B.Thường'!$H$11:$H$33,"")+SUMIFS('4. C.Tiết P.Án B.Thường'!$O$11:$O$33,'4. C.Tiết P.Án B.Thường'!$B$11:$B$33,'TH Thưởng GPMB nhanh'!B12,'4. C.Tiết P.Án B.Thường'!$F$11:$F$33,'TH Thưởng GPMB nhanh'!C12,'4. C.Tiết P.Án B.Thường'!$J$11:$J$33,'TH Thưởng GPMB nhanh'!D12,'4. C.Tiết P.Án B.Thường'!$K$11:$K$33,'TH Thưởng GPMB nhanh'!E12,'4. C.Tiết P.Án B.Thường'!$L$11:$L$33,'TH Thưởng GPMB nhanh'!F12,'4. C.Tiết P.Án B.Thường'!$M$11:$M$33,'TH Thưởng GPMB nhanh'!G12,'4. C.Tiết P.Án B.Thường'!$I$11:$I$33,"&lt;"&amp;'TH Thưởng GPMB nhanh'!$D$5,'4. C.Tiết P.Án B.Thường'!$H$11:$H$33,"&lt;&gt;"&amp;"")</f>
        <v>90000000</v>
      </c>
      <c r="I12" s="152">
        <f>SUMIFS('4. C.Tiết P.Án B.Thường'!$O$11:$O$33,'4. C.Tiết P.Án B.Thường'!$B$11:$B$33,'TH Thưởng GPMB nhanh'!B12,'4. C.Tiết P.Án B.Thường'!$F$11:$F$33,'TH Thưởng GPMB nhanh'!C12,'4. C.Tiết P.Án B.Thường'!$J$11:$J$33,'TH Thưởng GPMB nhanh'!D12,'4. C.Tiết P.Án B.Thường'!$K$11:$K$33,'TH Thưởng GPMB nhanh'!E12,'4. C.Tiết P.Án B.Thường'!$L$11:$L$33,'TH Thưởng GPMB nhanh'!F12,'4. C.Tiết P.Án B.Thường'!$M$11:$M$33,'TH Thưởng GPMB nhanh'!G12,'4. C.Tiết P.Án B.Thường'!$G$11:$G$33,"&gt;="&amp;'TH Thưởng GPMB nhanh'!$D$5,'4. C.Tiết P.Án B.Thường'!$G$11:$G$33,"&lt;="&amp;'TH Thưởng GPMB nhanh'!$D$6,'4. C.Tiết P.Án B.Thường'!$H$11:$H$33,"")+SUMIFS('4. C.Tiết P.Án B.Thường'!$O$11:$O$33,'4. C.Tiết P.Án B.Thường'!$B$11:$B$33,'TH Thưởng GPMB nhanh'!B12,'4. C.Tiết P.Án B.Thường'!$F$11:$F$33,'TH Thưởng GPMB nhanh'!C12,'4. C.Tiết P.Án B.Thường'!$J$11:$J$33,'TH Thưởng GPMB nhanh'!D12,'4. C.Tiết P.Án B.Thường'!$K$11:$K$33,'TH Thưởng GPMB nhanh'!E12,'4. C.Tiết P.Án B.Thường'!$L$11:$L$33,'TH Thưởng GPMB nhanh'!F12,'4. C.Tiết P.Án B.Thường'!$M$11:$M$33,'TH Thưởng GPMB nhanh'!G12,'4. C.Tiết P.Án B.Thường'!$I$11:$I$33,"&gt;="&amp;'TH Thưởng GPMB nhanh'!$D$5,'4. C.Tiết P.Án B.Thường'!$I$11:$I$33,"&lt;="&amp;'TH Thưởng GPMB nhanh'!$D$6,'4. C.Tiết P.Án B.Thường'!$H$11:$H$33,"&lt;&gt;"&amp;"")</f>
        <v>0</v>
      </c>
      <c r="J12" s="130">
        <f t="shared" si="0"/>
        <v>90000000</v>
      </c>
      <c r="K12" s="152">
        <f>SUMIFS('9. Thu, chi PABT'!$T$11:$T$33,'9. Thu, chi PABT'!$B$11:$B$33,'TH Thưởng GPMB nhanh'!B12,'9. Thu, chi PABT'!$F$11:$F$33,'TH Thưởng GPMB nhanh'!C12,'9. Thu, chi PABT'!$J$11:$J$33,'TH Thưởng GPMB nhanh'!D12,'9. Thu, chi PABT'!$K$11:$K$33,'TH Thưởng GPMB nhanh'!E12,'9. Thu, chi PABT'!$L$11:$L$33,'TH Thưởng GPMB nhanh'!F12,'9. Thu, chi PABT'!$M$11:$M$33,'TH Thưởng GPMB nhanh'!G12,'9. Thu, chi PABT'!$R$11:$R$33,"&lt;"&amp;'TH Thưởng GPMB nhanh'!$D$5)</f>
        <v>100000000</v>
      </c>
      <c r="L12" s="152">
        <f>SUMIFS('9. Thu, chi PABT'!$U$11:$U$33,'9. Thu, chi PABT'!$B$11:$B$33,'TH Thưởng GPMB nhanh'!B12,'9. Thu, chi PABT'!$F$11:$F$33,'TH Thưởng GPMB nhanh'!C12,'9. Thu, chi PABT'!$J$11:$J$33,'TH Thưởng GPMB nhanh'!D12,'9. Thu, chi PABT'!$K$11:$K$33,'TH Thưởng GPMB nhanh'!E12,'9. Thu, chi PABT'!$L$11:$L$33,'TH Thưởng GPMB nhanh'!F12,'9. Thu, chi PABT'!$M$11:$M$33,'TH Thưởng GPMB nhanh'!G12,'9. Thu, chi PABT'!$R$11:$R$33,"&lt;"&amp;'TH Thưởng GPMB nhanh'!$D$5)</f>
        <v>3000000</v>
      </c>
      <c r="M12" s="130">
        <f t="shared" si="1"/>
        <v>97000000</v>
      </c>
      <c r="N12" s="152">
        <f>SUMIFS('9. Thu, chi PABT'!$T$11:$T$33,'9. Thu, chi PABT'!$B$11:$B$33,'TH Thưởng GPMB nhanh'!B12,'9. Thu, chi PABT'!$F$11:$F$33,'TH Thưởng GPMB nhanh'!C12,'9. Thu, chi PABT'!$J$11:$J$33,'TH Thưởng GPMB nhanh'!D12,'9. Thu, chi PABT'!$K$11:$K$33,'TH Thưởng GPMB nhanh'!E12,'9. Thu, chi PABT'!$L$11:$L$33,'TH Thưởng GPMB nhanh'!F12,'9. Thu, chi PABT'!$M$11:$M$33,'TH Thưởng GPMB nhanh'!G12,'9. Thu, chi PABT'!$R$11:$R$33,"&gt;="&amp;'TH Thưởng GPMB nhanh'!$D$5,'9. Thu, chi PABT'!$R$11:$R$33,"&lt;="&amp;'TH Thưởng GPMB nhanh'!$D$6)</f>
        <v>0</v>
      </c>
      <c r="O12" s="152">
        <f>SUMIFS('9. Thu, chi PABT'!$U$11:$U$33,'9. Thu, chi PABT'!$B$11:$B$33,'TH Thưởng GPMB nhanh'!B12,'9. Thu, chi PABT'!$F$11:$F$33,'TH Thưởng GPMB nhanh'!C12,'9. Thu, chi PABT'!$J$11:$J$33,'TH Thưởng GPMB nhanh'!D12,'9. Thu, chi PABT'!$K$11:$K$33,'TH Thưởng GPMB nhanh'!E12,'9. Thu, chi PABT'!$L$11:$L$33,'TH Thưởng GPMB nhanh'!F12,'9. Thu, chi PABT'!$M$11:$M$33,'TH Thưởng GPMB nhanh'!G12,'9. Thu, chi PABT'!$R$11:$R$33,"&gt;="&amp;'TH Thưởng GPMB nhanh'!$D$5,'9. Thu, chi PABT'!$R$11:$R$33,"&lt;="&amp;'TH Thưởng GPMB nhanh'!$D$6)</f>
        <v>7000000</v>
      </c>
      <c r="P12" s="130">
        <f t="shared" si="2"/>
        <v>-7000000</v>
      </c>
      <c r="Q12" s="130">
        <f t="shared" si="3"/>
        <v>90000000</v>
      </c>
      <c r="R12" s="130">
        <f t="shared" si="4"/>
        <v>0</v>
      </c>
    </row>
    <row r="13" spans="1:22" x14ac:dyDescent="0.25">
      <c r="A13" s="88"/>
      <c r="B13" s="86"/>
      <c r="C13" s="86"/>
      <c r="D13" s="86"/>
      <c r="E13" s="86"/>
      <c r="F13" s="86"/>
      <c r="G13" s="86"/>
      <c r="H13" s="152">
        <f>SUMIFS('4. C.Tiết P.Án B.Thường'!$O$11:$O$33,'4. C.Tiết P.Án B.Thường'!$B$11:$B$33,'TH Thưởng GPMB nhanh'!B13,'4. C.Tiết P.Án B.Thường'!$F$11:$F$33,'TH Thưởng GPMB nhanh'!C13,'4. C.Tiết P.Án B.Thường'!$J$11:$J$33,'TH Thưởng GPMB nhanh'!D13,'4. C.Tiết P.Án B.Thường'!$K$11:$K$33,'TH Thưởng GPMB nhanh'!E13,'4. C.Tiết P.Án B.Thường'!$L$11:$L$33,'TH Thưởng GPMB nhanh'!F13,'4. C.Tiết P.Án B.Thường'!$M$11:$M$33,'TH Thưởng GPMB nhanh'!G13,'4. C.Tiết P.Án B.Thường'!$G$11:$G$33,"&lt;"&amp;'TH Thưởng GPMB nhanh'!$D$5,'4. C.Tiết P.Án B.Thường'!$H$11:$H$33,"")+SUMIFS('4. C.Tiết P.Án B.Thường'!$O$11:$O$33,'4. C.Tiết P.Án B.Thường'!$B$11:$B$33,'TH Thưởng GPMB nhanh'!B13,'4. C.Tiết P.Án B.Thường'!$F$11:$F$33,'TH Thưởng GPMB nhanh'!C13,'4. C.Tiết P.Án B.Thường'!$J$11:$J$33,'TH Thưởng GPMB nhanh'!D13,'4. C.Tiết P.Án B.Thường'!$K$11:$K$33,'TH Thưởng GPMB nhanh'!E13,'4. C.Tiết P.Án B.Thường'!$L$11:$L$33,'TH Thưởng GPMB nhanh'!F13,'4. C.Tiết P.Án B.Thường'!$M$11:$M$33,'TH Thưởng GPMB nhanh'!G13,'4. C.Tiết P.Án B.Thường'!$I$11:$I$33,"&lt;"&amp;'TH Thưởng GPMB nhanh'!$D$5,'4. C.Tiết P.Án B.Thường'!$H$11:$H$33,"&lt;&gt;"&amp;"")</f>
        <v>0</v>
      </c>
      <c r="I13" s="152">
        <f>SUMIFS('4. C.Tiết P.Án B.Thường'!$O$11:$O$33,'4. C.Tiết P.Án B.Thường'!$B$11:$B$33,'TH Thưởng GPMB nhanh'!B13,'4. C.Tiết P.Án B.Thường'!$F$11:$F$33,'TH Thưởng GPMB nhanh'!C13,'4. C.Tiết P.Án B.Thường'!$J$11:$J$33,'TH Thưởng GPMB nhanh'!D13,'4. C.Tiết P.Án B.Thường'!$K$11:$K$33,'TH Thưởng GPMB nhanh'!E13,'4. C.Tiết P.Án B.Thường'!$L$11:$L$33,'TH Thưởng GPMB nhanh'!F13,'4. C.Tiết P.Án B.Thường'!$M$11:$M$33,'TH Thưởng GPMB nhanh'!G13,'4. C.Tiết P.Án B.Thường'!$G$11:$G$33,"&gt;="&amp;'TH Thưởng GPMB nhanh'!$D$5,'4. C.Tiết P.Án B.Thường'!$G$11:$G$33,"&lt;="&amp;'TH Thưởng GPMB nhanh'!$D$6,'4. C.Tiết P.Án B.Thường'!$H$11:$H$33,"")+SUMIFS('4. C.Tiết P.Án B.Thường'!$O$11:$O$33,'4. C.Tiết P.Án B.Thường'!$B$11:$B$33,'TH Thưởng GPMB nhanh'!B13,'4. C.Tiết P.Án B.Thường'!$F$11:$F$33,'TH Thưởng GPMB nhanh'!C13,'4. C.Tiết P.Án B.Thường'!$J$11:$J$33,'TH Thưởng GPMB nhanh'!D13,'4. C.Tiết P.Án B.Thường'!$K$11:$K$33,'TH Thưởng GPMB nhanh'!E13,'4. C.Tiết P.Án B.Thường'!$L$11:$L$33,'TH Thưởng GPMB nhanh'!F13,'4. C.Tiết P.Án B.Thường'!$M$11:$M$33,'TH Thưởng GPMB nhanh'!G13,'4. C.Tiết P.Án B.Thường'!$I$11:$I$33,"&gt;="&amp;'TH Thưởng GPMB nhanh'!$D$5,'4. C.Tiết P.Án B.Thường'!$I$11:$I$33,"&lt;="&amp;'TH Thưởng GPMB nhanh'!$D$6,'4. C.Tiết P.Án B.Thường'!$H$11:$H$33,"&lt;&gt;"&amp;"")</f>
        <v>0</v>
      </c>
      <c r="J13" s="130">
        <f t="shared" si="0"/>
        <v>0</v>
      </c>
      <c r="K13" s="152">
        <f>SUMIFS('9. Thu, chi PABT'!$T$11:$T$33,'9. Thu, chi PABT'!$B$11:$B$33,'TH Thưởng GPMB nhanh'!B13,'9. Thu, chi PABT'!$F$11:$F$33,'TH Thưởng GPMB nhanh'!C13,'9. Thu, chi PABT'!$J$11:$J$33,'TH Thưởng GPMB nhanh'!D13,'9. Thu, chi PABT'!$K$11:$K$33,'TH Thưởng GPMB nhanh'!E13,'9. Thu, chi PABT'!$L$11:$L$33,'TH Thưởng GPMB nhanh'!F13,'9. Thu, chi PABT'!$M$11:$M$33,'TH Thưởng GPMB nhanh'!G13,'9. Thu, chi PABT'!$R$11:$R$33,"&lt;"&amp;'TH Thưởng GPMB nhanh'!$D$5)</f>
        <v>0</v>
      </c>
      <c r="L13" s="152">
        <f>SUMIFS('9. Thu, chi PABT'!$U$11:$U$33,'9. Thu, chi PABT'!$B$11:$B$33,'TH Thưởng GPMB nhanh'!B13,'9. Thu, chi PABT'!$F$11:$F$33,'TH Thưởng GPMB nhanh'!C13,'9. Thu, chi PABT'!$J$11:$J$33,'TH Thưởng GPMB nhanh'!D13,'9. Thu, chi PABT'!$K$11:$K$33,'TH Thưởng GPMB nhanh'!E13,'9. Thu, chi PABT'!$L$11:$L$33,'TH Thưởng GPMB nhanh'!F13,'9. Thu, chi PABT'!$M$11:$M$33,'TH Thưởng GPMB nhanh'!G13,'9. Thu, chi PABT'!$R$11:$R$33,"&lt;"&amp;'TH Thưởng GPMB nhanh'!$D$5)</f>
        <v>0</v>
      </c>
      <c r="M13" s="130">
        <f t="shared" si="1"/>
        <v>0</v>
      </c>
      <c r="N13" s="152">
        <f>SUMIFS('9. Thu, chi PABT'!$T$11:$T$33,'9. Thu, chi PABT'!$B$11:$B$33,'TH Thưởng GPMB nhanh'!B13,'9. Thu, chi PABT'!$F$11:$F$33,'TH Thưởng GPMB nhanh'!C13,'9. Thu, chi PABT'!$J$11:$J$33,'TH Thưởng GPMB nhanh'!D13,'9. Thu, chi PABT'!$K$11:$K$33,'TH Thưởng GPMB nhanh'!E13,'9. Thu, chi PABT'!$L$11:$L$33,'TH Thưởng GPMB nhanh'!F13,'9. Thu, chi PABT'!$M$11:$M$33,'TH Thưởng GPMB nhanh'!G13,'9. Thu, chi PABT'!$R$11:$R$33,"&gt;="&amp;'TH Thưởng GPMB nhanh'!$D$5,'9. Thu, chi PABT'!$R$11:$R$33,"&lt;="&amp;'TH Thưởng GPMB nhanh'!$D$6)</f>
        <v>0</v>
      </c>
      <c r="O13" s="152">
        <f>SUMIFS('9. Thu, chi PABT'!$U$11:$U$33,'9. Thu, chi PABT'!$B$11:$B$33,'TH Thưởng GPMB nhanh'!B13,'9. Thu, chi PABT'!$F$11:$F$33,'TH Thưởng GPMB nhanh'!C13,'9. Thu, chi PABT'!$J$11:$J$33,'TH Thưởng GPMB nhanh'!D13,'9. Thu, chi PABT'!$K$11:$K$33,'TH Thưởng GPMB nhanh'!E13,'9. Thu, chi PABT'!$L$11:$L$33,'TH Thưởng GPMB nhanh'!F13,'9. Thu, chi PABT'!$M$11:$M$33,'TH Thưởng GPMB nhanh'!G13,'9. Thu, chi PABT'!$R$11:$R$33,"&gt;="&amp;'TH Thưởng GPMB nhanh'!$D$5,'9. Thu, chi PABT'!$R$11:$R$33,"&lt;="&amp;'TH Thưởng GPMB nhanh'!$D$6)</f>
        <v>0</v>
      </c>
      <c r="P13" s="130">
        <f t="shared" si="2"/>
        <v>0</v>
      </c>
      <c r="Q13" s="130">
        <f t="shared" si="3"/>
        <v>0</v>
      </c>
      <c r="R13" s="130">
        <f t="shared" si="4"/>
        <v>0</v>
      </c>
    </row>
    <row r="14" spans="1:22" x14ac:dyDescent="0.25">
      <c r="A14" s="88"/>
      <c r="B14" s="86"/>
      <c r="C14" s="86"/>
      <c r="D14" s="86"/>
      <c r="E14" s="86"/>
      <c r="F14" s="86"/>
      <c r="G14" s="86"/>
      <c r="H14" s="152">
        <f>SUMIFS('4. C.Tiết P.Án B.Thường'!$O$11:$O$33,'4. C.Tiết P.Án B.Thường'!$B$11:$B$33,'TH Thưởng GPMB nhanh'!B14,'4. C.Tiết P.Án B.Thường'!$F$11:$F$33,'TH Thưởng GPMB nhanh'!C14,'4. C.Tiết P.Án B.Thường'!$J$11:$J$33,'TH Thưởng GPMB nhanh'!D14,'4. C.Tiết P.Án B.Thường'!$K$11:$K$33,'TH Thưởng GPMB nhanh'!E14,'4. C.Tiết P.Án B.Thường'!$L$11:$L$33,'TH Thưởng GPMB nhanh'!F14,'4. C.Tiết P.Án B.Thường'!$M$11:$M$33,'TH Thưởng GPMB nhanh'!G14,'4. C.Tiết P.Án B.Thường'!$G$11:$G$33,"&lt;"&amp;'TH Thưởng GPMB nhanh'!$D$5,'4. C.Tiết P.Án B.Thường'!$H$11:$H$33,"")+SUMIFS('4. C.Tiết P.Án B.Thường'!$O$11:$O$33,'4. C.Tiết P.Án B.Thường'!$B$11:$B$33,'TH Thưởng GPMB nhanh'!B14,'4. C.Tiết P.Án B.Thường'!$F$11:$F$33,'TH Thưởng GPMB nhanh'!C14,'4. C.Tiết P.Án B.Thường'!$J$11:$J$33,'TH Thưởng GPMB nhanh'!D14,'4. C.Tiết P.Án B.Thường'!$K$11:$K$33,'TH Thưởng GPMB nhanh'!E14,'4. C.Tiết P.Án B.Thường'!$L$11:$L$33,'TH Thưởng GPMB nhanh'!F14,'4. C.Tiết P.Án B.Thường'!$M$11:$M$33,'TH Thưởng GPMB nhanh'!G14,'4. C.Tiết P.Án B.Thường'!$I$11:$I$33,"&lt;"&amp;'TH Thưởng GPMB nhanh'!$D$5,'4. C.Tiết P.Án B.Thường'!$H$11:$H$33,"&lt;&gt;"&amp;"")</f>
        <v>0</v>
      </c>
      <c r="I14" s="152">
        <f>SUMIFS('4. C.Tiết P.Án B.Thường'!$O$11:$O$33,'4. C.Tiết P.Án B.Thường'!$B$11:$B$33,'TH Thưởng GPMB nhanh'!B14,'4. C.Tiết P.Án B.Thường'!$F$11:$F$33,'TH Thưởng GPMB nhanh'!C14,'4. C.Tiết P.Án B.Thường'!$J$11:$J$33,'TH Thưởng GPMB nhanh'!D14,'4. C.Tiết P.Án B.Thường'!$K$11:$K$33,'TH Thưởng GPMB nhanh'!E14,'4. C.Tiết P.Án B.Thường'!$L$11:$L$33,'TH Thưởng GPMB nhanh'!F14,'4. C.Tiết P.Án B.Thường'!$M$11:$M$33,'TH Thưởng GPMB nhanh'!G14,'4. C.Tiết P.Án B.Thường'!$G$11:$G$33,"&gt;="&amp;'TH Thưởng GPMB nhanh'!$D$5,'4. C.Tiết P.Án B.Thường'!$G$11:$G$33,"&lt;="&amp;'TH Thưởng GPMB nhanh'!$D$6,'4. C.Tiết P.Án B.Thường'!$H$11:$H$33,"")+SUMIFS('4. C.Tiết P.Án B.Thường'!$O$11:$O$33,'4. C.Tiết P.Án B.Thường'!$B$11:$B$33,'TH Thưởng GPMB nhanh'!B14,'4. C.Tiết P.Án B.Thường'!$F$11:$F$33,'TH Thưởng GPMB nhanh'!C14,'4. C.Tiết P.Án B.Thường'!$J$11:$J$33,'TH Thưởng GPMB nhanh'!D14,'4. C.Tiết P.Án B.Thường'!$K$11:$K$33,'TH Thưởng GPMB nhanh'!E14,'4. C.Tiết P.Án B.Thường'!$L$11:$L$33,'TH Thưởng GPMB nhanh'!F14,'4. C.Tiết P.Án B.Thường'!$M$11:$M$33,'TH Thưởng GPMB nhanh'!G14,'4. C.Tiết P.Án B.Thường'!$I$11:$I$33,"&gt;="&amp;'TH Thưởng GPMB nhanh'!$D$5,'4. C.Tiết P.Án B.Thường'!$I$11:$I$33,"&lt;="&amp;'TH Thưởng GPMB nhanh'!$D$6,'4. C.Tiết P.Án B.Thường'!$H$11:$H$33,"&lt;&gt;"&amp;"")</f>
        <v>0</v>
      </c>
      <c r="J14" s="130">
        <f t="shared" si="0"/>
        <v>0</v>
      </c>
      <c r="K14" s="152">
        <f>SUMIFS('9. Thu, chi PABT'!$T$11:$T$33,'9. Thu, chi PABT'!$B$11:$B$33,'TH Thưởng GPMB nhanh'!B14,'9. Thu, chi PABT'!$F$11:$F$33,'TH Thưởng GPMB nhanh'!C14,'9. Thu, chi PABT'!$J$11:$J$33,'TH Thưởng GPMB nhanh'!D14,'9. Thu, chi PABT'!$K$11:$K$33,'TH Thưởng GPMB nhanh'!E14,'9. Thu, chi PABT'!$L$11:$L$33,'TH Thưởng GPMB nhanh'!F14,'9. Thu, chi PABT'!$M$11:$M$33,'TH Thưởng GPMB nhanh'!G14,'9. Thu, chi PABT'!$R$11:$R$33,"&lt;"&amp;'TH Thưởng GPMB nhanh'!$D$5)</f>
        <v>0</v>
      </c>
      <c r="L14" s="152">
        <f>SUMIFS('9. Thu, chi PABT'!$U$11:$U$33,'9. Thu, chi PABT'!$B$11:$B$33,'TH Thưởng GPMB nhanh'!B14,'9. Thu, chi PABT'!$F$11:$F$33,'TH Thưởng GPMB nhanh'!C14,'9. Thu, chi PABT'!$J$11:$J$33,'TH Thưởng GPMB nhanh'!D14,'9. Thu, chi PABT'!$K$11:$K$33,'TH Thưởng GPMB nhanh'!E14,'9. Thu, chi PABT'!$L$11:$L$33,'TH Thưởng GPMB nhanh'!F14,'9. Thu, chi PABT'!$M$11:$M$33,'TH Thưởng GPMB nhanh'!G14,'9. Thu, chi PABT'!$R$11:$R$33,"&lt;"&amp;'TH Thưởng GPMB nhanh'!$D$5)</f>
        <v>0</v>
      </c>
      <c r="M14" s="130">
        <f t="shared" si="1"/>
        <v>0</v>
      </c>
      <c r="N14" s="152">
        <f>SUMIFS('9. Thu, chi PABT'!$T$11:$T$33,'9. Thu, chi PABT'!$B$11:$B$33,'TH Thưởng GPMB nhanh'!B14,'9. Thu, chi PABT'!$F$11:$F$33,'TH Thưởng GPMB nhanh'!C14,'9. Thu, chi PABT'!$J$11:$J$33,'TH Thưởng GPMB nhanh'!D14,'9. Thu, chi PABT'!$K$11:$K$33,'TH Thưởng GPMB nhanh'!E14,'9. Thu, chi PABT'!$L$11:$L$33,'TH Thưởng GPMB nhanh'!F14,'9. Thu, chi PABT'!$M$11:$M$33,'TH Thưởng GPMB nhanh'!G14,'9. Thu, chi PABT'!$R$11:$R$33,"&gt;="&amp;'TH Thưởng GPMB nhanh'!$D$5,'9. Thu, chi PABT'!$R$11:$R$33,"&lt;="&amp;'TH Thưởng GPMB nhanh'!$D$6)</f>
        <v>0</v>
      </c>
      <c r="O14" s="152">
        <f>SUMIFS('9. Thu, chi PABT'!$U$11:$U$33,'9. Thu, chi PABT'!$B$11:$B$33,'TH Thưởng GPMB nhanh'!B14,'9. Thu, chi PABT'!$F$11:$F$33,'TH Thưởng GPMB nhanh'!C14,'9. Thu, chi PABT'!$J$11:$J$33,'TH Thưởng GPMB nhanh'!D14,'9. Thu, chi PABT'!$K$11:$K$33,'TH Thưởng GPMB nhanh'!E14,'9. Thu, chi PABT'!$L$11:$L$33,'TH Thưởng GPMB nhanh'!F14,'9. Thu, chi PABT'!$M$11:$M$33,'TH Thưởng GPMB nhanh'!G14,'9. Thu, chi PABT'!$R$11:$R$33,"&gt;="&amp;'TH Thưởng GPMB nhanh'!$D$5,'9. Thu, chi PABT'!$R$11:$R$33,"&lt;="&amp;'TH Thưởng GPMB nhanh'!$D$6)</f>
        <v>0</v>
      </c>
      <c r="P14" s="130">
        <f t="shared" si="2"/>
        <v>0</v>
      </c>
      <c r="Q14" s="130">
        <f t="shared" si="3"/>
        <v>0</v>
      </c>
      <c r="R14" s="130">
        <f t="shared" si="4"/>
        <v>0</v>
      </c>
    </row>
    <row r="15" spans="1:22" x14ac:dyDescent="0.25">
      <c r="A15" s="88"/>
      <c r="B15" s="86"/>
      <c r="C15" s="86"/>
      <c r="D15" s="86"/>
      <c r="E15" s="86"/>
      <c r="F15" s="86"/>
      <c r="G15" s="86"/>
      <c r="H15" s="152">
        <f>SUMIFS('4. C.Tiết P.Án B.Thường'!$O$11:$O$33,'4. C.Tiết P.Án B.Thường'!$B$11:$B$33,'TH Thưởng GPMB nhanh'!B15,'4. C.Tiết P.Án B.Thường'!$F$11:$F$33,'TH Thưởng GPMB nhanh'!C15,'4. C.Tiết P.Án B.Thường'!$J$11:$J$33,'TH Thưởng GPMB nhanh'!D15,'4. C.Tiết P.Án B.Thường'!$K$11:$K$33,'TH Thưởng GPMB nhanh'!E15,'4. C.Tiết P.Án B.Thường'!$L$11:$L$33,'TH Thưởng GPMB nhanh'!F15,'4. C.Tiết P.Án B.Thường'!$M$11:$M$33,'TH Thưởng GPMB nhanh'!G15,'4. C.Tiết P.Án B.Thường'!$G$11:$G$33,"&lt;"&amp;'TH Thưởng GPMB nhanh'!$D$5,'4. C.Tiết P.Án B.Thường'!$H$11:$H$33,"")+SUMIFS('4. C.Tiết P.Án B.Thường'!$O$11:$O$33,'4. C.Tiết P.Án B.Thường'!$B$11:$B$33,'TH Thưởng GPMB nhanh'!B15,'4. C.Tiết P.Án B.Thường'!$F$11:$F$33,'TH Thưởng GPMB nhanh'!C15,'4. C.Tiết P.Án B.Thường'!$J$11:$J$33,'TH Thưởng GPMB nhanh'!D15,'4. C.Tiết P.Án B.Thường'!$K$11:$K$33,'TH Thưởng GPMB nhanh'!E15,'4. C.Tiết P.Án B.Thường'!$L$11:$L$33,'TH Thưởng GPMB nhanh'!F15,'4. C.Tiết P.Án B.Thường'!$M$11:$M$33,'TH Thưởng GPMB nhanh'!G15,'4. C.Tiết P.Án B.Thường'!$I$11:$I$33,"&lt;"&amp;'TH Thưởng GPMB nhanh'!$D$5,'4. C.Tiết P.Án B.Thường'!$H$11:$H$33,"&lt;&gt;"&amp;"")</f>
        <v>0</v>
      </c>
      <c r="I15" s="152">
        <f>SUMIFS('4. C.Tiết P.Án B.Thường'!$O$11:$O$33,'4. C.Tiết P.Án B.Thường'!$B$11:$B$33,'TH Thưởng GPMB nhanh'!B15,'4. C.Tiết P.Án B.Thường'!$F$11:$F$33,'TH Thưởng GPMB nhanh'!C15,'4. C.Tiết P.Án B.Thường'!$J$11:$J$33,'TH Thưởng GPMB nhanh'!D15,'4. C.Tiết P.Án B.Thường'!$K$11:$K$33,'TH Thưởng GPMB nhanh'!E15,'4. C.Tiết P.Án B.Thường'!$L$11:$L$33,'TH Thưởng GPMB nhanh'!F15,'4. C.Tiết P.Án B.Thường'!$M$11:$M$33,'TH Thưởng GPMB nhanh'!G15,'4. C.Tiết P.Án B.Thường'!$G$11:$G$33,"&gt;="&amp;'TH Thưởng GPMB nhanh'!$D$5,'4. C.Tiết P.Án B.Thường'!$G$11:$G$33,"&lt;="&amp;'TH Thưởng GPMB nhanh'!$D$6,'4. C.Tiết P.Án B.Thường'!$H$11:$H$33,"")+SUMIFS('4. C.Tiết P.Án B.Thường'!$O$11:$O$33,'4. C.Tiết P.Án B.Thường'!$B$11:$B$33,'TH Thưởng GPMB nhanh'!B15,'4. C.Tiết P.Án B.Thường'!$F$11:$F$33,'TH Thưởng GPMB nhanh'!C15,'4. C.Tiết P.Án B.Thường'!$J$11:$J$33,'TH Thưởng GPMB nhanh'!D15,'4. C.Tiết P.Án B.Thường'!$K$11:$K$33,'TH Thưởng GPMB nhanh'!E15,'4. C.Tiết P.Án B.Thường'!$L$11:$L$33,'TH Thưởng GPMB nhanh'!F15,'4. C.Tiết P.Án B.Thường'!$M$11:$M$33,'TH Thưởng GPMB nhanh'!G15,'4. C.Tiết P.Án B.Thường'!$I$11:$I$33,"&gt;="&amp;'TH Thưởng GPMB nhanh'!$D$5,'4. C.Tiết P.Án B.Thường'!$I$11:$I$33,"&lt;="&amp;'TH Thưởng GPMB nhanh'!$D$6,'4. C.Tiết P.Án B.Thường'!$H$11:$H$33,"&lt;&gt;"&amp;"")</f>
        <v>0</v>
      </c>
      <c r="J15" s="130">
        <f t="shared" si="0"/>
        <v>0</v>
      </c>
      <c r="K15" s="152">
        <f>SUMIFS('9. Thu, chi PABT'!$T$11:$T$33,'9. Thu, chi PABT'!$B$11:$B$33,'TH Thưởng GPMB nhanh'!B15,'9. Thu, chi PABT'!$F$11:$F$33,'TH Thưởng GPMB nhanh'!C15,'9. Thu, chi PABT'!$J$11:$J$33,'TH Thưởng GPMB nhanh'!D15,'9. Thu, chi PABT'!$K$11:$K$33,'TH Thưởng GPMB nhanh'!E15,'9. Thu, chi PABT'!$L$11:$L$33,'TH Thưởng GPMB nhanh'!F15,'9. Thu, chi PABT'!$M$11:$M$33,'TH Thưởng GPMB nhanh'!G15,'9. Thu, chi PABT'!$R$11:$R$33,"&lt;"&amp;'TH Thưởng GPMB nhanh'!$D$5)</f>
        <v>0</v>
      </c>
      <c r="L15" s="152">
        <f>SUMIFS('9. Thu, chi PABT'!$U$11:$U$33,'9. Thu, chi PABT'!$B$11:$B$33,'TH Thưởng GPMB nhanh'!B15,'9. Thu, chi PABT'!$F$11:$F$33,'TH Thưởng GPMB nhanh'!C15,'9. Thu, chi PABT'!$J$11:$J$33,'TH Thưởng GPMB nhanh'!D15,'9. Thu, chi PABT'!$K$11:$K$33,'TH Thưởng GPMB nhanh'!E15,'9. Thu, chi PABT'!$L$11:$L$33,'TH Thưởng GPMB nhanh'!F15,'9. Thu, chi PABT'!$M$11:$M$33,'TH Thưởng GPMB nhanh'!G15,'9. Thu, chi PABT'!$R$11:$R$33,"&lt;"&amp;'TH Thưởng GPMB nhanh'!$D$5)</f>
        <v>0</v>
      </c>
      <c r="M15" s="130">
        <f t="shared" si="1"/>
        <v>0</v>
      </c>
      <c r="N15" s="152">
        <f>SUMIFS('9. Thu, chi PABT'!$T$11:$T$33,'9. Thu, chi PABT'!$B$11:$B$33,'TH Thưởng GPMB nhanh'!B15,'9. Thu, chi PABT'!$F$11:$F$33,'TH Thưởng GPMB nhanh'!C15,'9. Thu, chi PABT'!$J$11:$J$33,'TH Thưởng GPMB nhanh'!D15,'9. Thu, chi PABT'!$K$11:$K$33,'TH Thưởng GPMB nhanh'!E15,'9. Thu, chi PABT'!$L$11:$L$33,'TH Thưởng GPMB nhanh'!F15,'9. Thu, chi PABT'!$M$11:$M$33,'TH Thưởng GPMB nhanh'!G15,'9. Thu, chi PABT'!$R$11:$R$33,"&gt;="&amp;'TH Thưởng GPMB nhanh'!$D$5,'9. Thu, chi PABT'!$R$11:$R$33,"&lt;="&amp;'TH Thưởng GPMB nhanh'!$D$6)</f>
        <v>0</v>
      </c>
      <c r="O15" s="152">
        <f>SUMIFS('9. Thu, chi PABT'!$U$11:$U$33,'9. Thu, chi PABT'!$B$11:$B$33,'TH Thưởng GPMB nhanh'!B15,'9. Thu, chi PABT'!$F$11:$F$33,'TH Thưởng GPMB nhanh'!C15,'9. Thu, chi PABT'!$J$11:$J$33,'TH Thưởng GPMB nhanh'!D15,'9. Thu, chi PABT'!$K$11:$K$33,'TH Thưởng GPMB nhanh'!E15,'9. Thu, chi PABT'!$L$11:$L$33,'TH Thưởng GPMB nhanh'!F15,'9. Thu, chi PABT'!$M$11:$M$33,'TH Thưởng GPMB nhanh'!G15,'9. Thu, chi PABT'!$R$11:$R$33,"&gt;="&amp;'TH Thưởng GPMB nhanh'!$D$5,'9. Thu, chi PABT'!$R$11:$R$33,"&lt;="&amp;'TH Thưởng GPMB nhanh'!$D$6)</f>
        <v>0</v>
      </c>
      <c r="P15" s="130">
        <f t="shared" si="2"/>
        <v>0</v>
      </c>
      <c r="Q15" s="130">
        <f t="shared" si="3"/>
        <v>0</v>
      </c>
      <c r="R15" s="130">
        <f t="shared" si="4"/>
        <v>0</v>
      </c>
    </row>
    <row r="16" spans="1:22" x14ac:dyDescent="0.25">
      <c r="A16" s="88"/>
      <c r="B16" s="86"/>
      <c r="C16" s="86"/>
      <c r="D16" s="86"/>
      <c r="E16" s="86"/>
      <c r="F16" s="86"/>
      <c r="G16" s="86"/>
      <c r="H16" s="152">
        <f>SUMIFS('4. C.Tiết P.Án B.Thường'!$O$11:$O$33,'4. C.Tiết P.Án B.Thường'!$B$11:$B$33,'TH Thưởng GPMB nhanh'!B16,'4. C.Tiết P.Án B.Thường'!$F$11:$F$33,'TH Thưởng GPMB nhanh'!C16,'4. C.Tiết P.Án B.Thường'!$J$11:$J$33,'TH Thưởng GPMB nhanh'!D16,'4. C.Tiết P.Án B.Thường'!$K$11:$K$33,'TH Thưởng GPMB nhanh'!E16,'4. C.Tiết P.Án B.Thường'!$L$11:$L$33,'TH Thưởng GPMB nhanh'!F16,'4. C.Tiết P.Án B.Thường'!$M$11:$M$33,'TH Thưởng GPMB nhanh'!G16,'4. C.Tiết P.Án B.Thường'!$G$11:$G$33,"&lt;"&amp;'TH Thưởng GPMB nhanh'!$D$5,'4. C.Tiết P.Án B.Thường'!$H$11:$H$33,"")+SUMIFS('4. C.Tiết P.Án B.Thường'!$O$11:$O$33,'4. C.Tiết P.Án B.Thường'!$B$11:$B$33,'TH Thưởng GPMB nhanh'!B16,'4. C.Tiết P.Án B.Thường'!$F$11:$F$33,'TH Thưởng GPMB nhanh'!C16,'4. C.Tiết P.Án B.Thường'!$J$11:$J$33,'TH Thưởng GPMB nhanh'!D16,'4. C.Tiết P.Án B.Thường'!$K$11:$K$33,'TH Thưởng GPMB nhanh'!E16,'4. C.Tiết P.Án B.Thường'!$L$11:$L$33,'TH Thưởng GPMB nhanh'!F16,'4. C.Tiết P.Án B.Thường'!$M$11:$M$33,'TH Thưởng GPMB nhanh'!G16,'4. C.Tiết P.Án B.Thường'!$I$11:$I$33,"&lt;"&amp;'TH Thưởng GPMB nhanh'!$D$5,'4. C.Tiết P.Án B.Thường'!$H$11:$H$33,"&lt;&gt;"&amp;"")</f>
        <v>0</v>
      </c>
      <c r="I16" s="152">
        <f>SUMIFS('4. C.Tiết P.Án B.Thường'!$O$11:$O$33,'4. C.Tiết P.Án B.Thường'!$B$11:$B$33,'TH Thưởng GPMB nhanh'!B16,'4. C.Tiết P.Án B.Thường'!$F$11:$F$33,'TH Thưởng GPMB nhanh'!C16,'4. C.Tiết P.Án B.Thường'!$J$11:$J$33,'TH Thưởng GPMB nhanh'!D16,'4. C.Tiết P.Án B.Thường'!$K$11:$K$33,'TH Thưởng GPMB nhanh'!E16,'4. C.Tiết P.Án B.Thường'!$L$11:$L$33,'TH Thưởng GPMB nhanh'!F16,'4. C.Tiết P.Án B.Thường'!$M$11:$M$33,'TH Thưởng GPMB nhanh'!G16,'4. C.Tiết P.Án B.Thường'!$G$11:$G$33,"&gt;="&amp;'TH Thưởng GPMB nhanh'!$D$5,'4. C.Tiết P.Án B.Thường'!$G$11:$G$33,"&lt;="&amp;'TH Thưởng GPMB nhanh'!$D$6,'4. C.Tiết P.Án B.Thường'!$H$11:$H$33,"")+SUMIFS('4. C.Tiết P.Án B.Thường'!$O$11:$O$33,'4. C.Tiết P.Án B.Thường'!$B$11:$B$33,'TH Thưởng GPMB nhanh'!B16,'4. C.Tiết P.Án B.Thường'!$F$11:$F$33,'TH Thưởng GPMB nhanh'!C16,'4. C.Tiết P.Án B.Thường'!$J$11:$J$33,'TH Thưởng GPMB nhanh'!D16,'4. C.Tiết P.Án B.Thường'!$K$11:$K$33,'TH Thưởng GPMB nhanh'!E16,'4. C.Tiết P.Án B.Thường'!$L$11:$L$33,'TH Thưởng GPMB nhanh'!F16,'4. C.Tiết P.Án B.Thường'!$M$11:$M$33,'TH Thưởng GPMB nhanh'!G16,'4. C.Tiết P.Án B.Thường'!$I$11:$I$33,"&gt;="&amp;'TH Thưởng GPMB nhanh'!$D$5,'4. C.Tiết P.Án B.Thường'!$I$11:$I$33,"&lt;="&amp;'TH Thưởng GPMB nhanh'!$D$6,'4. C.Tiết P.Án B.Thường'!$H$11:$H$33,"&lt;&gt;"&amp;"")</f>
        <v>0</v>
      </c>
      <c r="J16" s="130">
        <f t="shared" si="0"/>
        <v>0</v>
      </c>
      <c r="K16" s="152">
        <f>SUMIFS('9. Thu, chi PABT'!$T$11:$T$33,'9. Thu, chi PABT'!$B$11:$B$33,'TH Thưởng GPMB nhanh'!B16,'9. Thu, chi PABT'!$F$11:$F$33,'TH Thưởng GPMB nhanh'!C16,'9. Thu, chi PABT'!$J$11:$J$33,'TH Thưởng GPMB nhanh'!D16,'9. Thu, chi PABT'!$K$11:$K$33,'TH Thưởng GPMB nhanh'!E16,'9. Thu, chi PABT'!$L$11:$L$33,'TH Thưởng GPMB nhanh'!F16,'9. Thu, chi PABT'!$M$11:$M$33,'TH Thưởng GPMB nhanh'!G16,'9. Thu, chi PABT'!$R$11:$R$33,"&lt;"&amp;'TH Thưởng GPMB nhanh'!$D$5)</f>
        <v>0</v>
      </c>
      <c r="L16" s="152">
        <f>SUMIFS('9. Thu, chi PABT'!$U$11:$U$33,'9. Thu, chi PABT'!$B$11:$B$33,'TH Thưởng GPMB nhanh'!B16,'9. Thu, chi PABT'!$F$11:$F$33,'TH Thưởng GPMB nhanh'!C16,'9. Thu, chi PABT'!$J$11:$J$33,'TH Thưởng GPMB nhanh'!D16,'9. Thu, chi PABT'!$K$11:$K$33,'TH Thưởng GPMB nhanh'!E16,'9. Thu, chi PABT'!$L$11:$L$33,'TH Thưởng GPMB nhanh'!F16,'9. Thu, chi PABT'!$M$11:$M$33,'TH Thưởng GPMB nhanh'!G16,'9. Thu, chi PABT'!$R$11:$R$33,"&lt;"&amp;'TH Thưởng GPMB nhanh'!$D$5)</f>
        <v>0</v>
      </c>
      <c r="M16" s="130">
        <f t="shared" si="1"/>
        <v>0</v>
      </c>
      <c r="N16" s="152">
        <f>SUMIFS('9. Thu, chi PABT'!$T$11:$T$33,'9. Thu, chi PABT'!$B$11:$B$33,'TH Thưởng GPMB nhanh'!B16,'9. Thu, chi PABT'!$F$11:$F$33,'TH Thưởng GPMB nhanh'!C16,'9. Thu, chi PABT'!$J$11:$J$33,'TH Thưởng GPMB nhanh'!D16,'9. Thu, chi PABT'!$K$11:$K$33,'TH Thưởng GPMB nhanh'!E16,'9. Thu, chi PABT'!$L$11:$L$33,'TH Thưởng GPMB nhanh'!F16,'9. Thu, chi PABT'!$M$11:$M$33,'TH Thưởng GPMB nhanh'!G16,'9. Thu, chi PABT'!$R$11:$R$33,"&gt;="&amp;'TH Thưởng GPMB nhanh'!$D$5,'9. Thu, chi PABT'!$R$11:$R$33,"&lt;="&amp;'TH Thưởng GPMB nhanh'!$D$6)</f>
        <v>0</v>
      </c>
      <c r="O16" s="152">
        <f>SUMIFS('9. Thu, chi PABT'!$U$11:$U$33,'9. Thu, chi PABT'!$B$11:$B$33,'TH Thưởng GPMB nhanh'!B16,'9. Thu, chi PABT'!$F$11:$F$33,'TH Thưởng GPMB nhanh'!C16,'9. Thu, chi PABT'!$J$11:$J$33,'TH Thưởng GPMB nhanh'!D16,'9. Thu, chi PABT'!$K$11:$K$33,'TH Thưởng GPMB nhanh'!E16,'9. Thu, chi PABT'!$L$11:$L$33,'TH Thưởng GPMB nhanh'!F16,'9. Thu, chi PABT'!$M$11:$M$33,'TH Thưởng GPMB nhanh'!G16,'9. Thu, chi PABT'!$R$11:$R$33,"&gt;="&amp;'TH Thưởng GPMB nhanh'!$D$5,'9. Thu, chi PABT'!$R$11:$R$33,"&lt;="&amp;'TH Thưởng GPMB nhanh'!$D$6)</f>
        <v>0</v>
      </c>
      <c r="P16" s="130">
        <f t="shared" si="2"/>
        <v>0</v>
      </c>
      <c r="Q16" s="130">
        <f t="shared" si="3"/>
        <v>0</v>
      </c>
      <c r="R16" s="130">
        <f t="shared" si="4"/>
        <v>0</v>
      </c>
    </row>
    <row r="17" spans="1:18" x14ac:dyDescent="0.25">
      <c r="A17" s="88"/>
      <c r="B17" s="86"/>
      <c r="C17" s="86"/>
      <c r="D17" s="86"/>
      <c r="E17" s="86"/>
      <c r="F17" s="86"/>
      <c r="G17" s="86"/>
      <c r="H17" s="152">
        <f>SUMIFS('4. C.Tiết P.Án B.Thường'!$O$11:$O$33,'4. C.Tiết P.Án B.Thường'!$B$11:$B$33,'TH Thưởng GPMB nhanh'!B17,'4. C.Tiết P.Án B.Thường'!$F$11:$F$33,'TH Thưởng GPMB nhanh'!C17,'4. C.Tiết P.Án B.Thường'!$J$11:$J$33,'TH Thưởng GPMB nhanh'!D17,'4. C.Tiết P.Án B.Thường'!$K$11:$K$33,'TH Thưởng GPMB nhanh'!E17,'4. C.Tiết P.Án B.Thường'!$L$11:$L$33,'TH Thưởng GPMB nhanh'!F17,'4. C.Tiết P.Án B.Thường'!$M$11:$M$33,'TH Thưởng GPMB nhanh'!G17,'4. C.Tiết P.Án B.Thường'!$G$11:$G$33,"&lt;"&amp;'TH Thưởng GPMB nhanh'!$D$5,'4. C.Tiết P.Án B.Thường'!$H$11:$H$33,"")+SUMIFS('4. C.Tiết P.Án B.Thường'!$O$11:$O$33,'4. C.Tiết P.Án B.Thường'!$B$11:$B$33,'TH Thưởng GPMB nhanh'!B17,'4. C.Tiết P.Án B.Thường'!$F$11:$F$33,'TH Thưởng GPMB nhanh'!C17,'4. C.Tiết P.Án B.Thường'!$J$11:$J$33,'TH Thưởng GPMB nhanh'!D17,'4. C.Tiết P.Án B.Thường'!$K$11:$K$33,'TH Thưởng GPMB nhanh'!E17,'4. C.Tiết P.Án B.Thường'!$L$11:$L$33,'TH Thưởng GPMB nhanh'!F17,'4. C.Tiết P.Án B.Thường'!$M$11:$M$33,'TH Thưởng GPMB nhanh'!G17,'4. C.Tiết P.Án B.Thường'!$I$11:$I$33,"&lt;"&amp;'TH Thưởng GPMB nhanh'!$D$5,'4. C.Tiết P.Án B.Thường'!$H$11:$H$33,"&lt;&gt;"&amp;"")</f>
        <v>0</v>
      </c>
      <c r="I17" s="152">
        <f>SUMIFS('4. C.Tiết P.Án B.Thường'!$O$11:$O$33,'4. C.Tiết P.Án B.Thường'!$B$11:$B$33,'TH Thưởng GPMB nhanh'!B17,'4. C.Tiết P.Án B.Thường'!$F$11:$F$33,'TH Thưởng GPMB nhanh'!C17,'4. C.Tiết P.Án B.Thường'!$J$11:$J$33,'TH Thưởng GPMB nhanh'!D17,'4. C.Tiết P.Án B.Thường'!$K$11:$K$33,'TH Thưởng GPMB nhanh'!E17,'4. C.Tiết P.Án B.Thường'!$L$11:$L$33,'TH Thưởng GPMB nhanh'!F17,'4. C.Tiết P.Án B.Thường'!$M$11:$M$33,'TH Thưởng GPMB nhanh'!G17,'4. C.Tiết P.Án B.Thường'!$G$11:$G$33,"&gt;="&amp;'TH Thưởng GPMB nhanh'!$D$5,'4. C.Tiết P.Án B.Thường'!$G$11:$G$33,"&lt;="&amp;'TH Thưởng GPMB nhanh'!$D$6,'4. C.Tiết P.Án B.Thường'!$H$11:$H$33,"")+SUMIFS('4. C.Tiết P.Án B.Thường'!$O$11:$O$33,'4. C.Tiết P.Án B.Thường'!$B$11:$B$33,'TH Thưởng GPMB nhanh'!B17,'4. C.Tiết P.Án B.Thường'!$F$11:$F$33,'TH Thưởng GPMB nhanh'!C17,'4. C.Tiết P.Án B.Thường'!$J$11:$J$33,'TH Thưởng GPMB nhanh'!D17,'4. C.Tiết P.Án B.Thường'!$K$11:$K$33,'TH Thưởng GPMB nhanh'!E17,'4. C.Tiết P.Án B.Thường'!$L$11:$L$33,'TH Thưởng GPMB nhanh'!F17,'4. C.Tiết P.Án B.Thường'!$M$11:$M$33,'TH Thưởng GPMB nhanh'!G17,'4. C.Tiết P.Án B.Thường'!$I$11:$I$33,"&gt;="&amp;'TH Thưởng GPMB nhanh'!$D$5,'4. C.Tiết P.Án B.Thường'!$I$11:$I$33,"&lt;="&amp;'TH Thưởng GPMB nhanh'!$D$6,'4. C.Tiết P.Án B.Thường'!$H$11:$H$33,"&lt;&gt;"&amp;"")</f>
        <v>0</v>
      </c>
      <c r="J17" s="130">
        <f t="shared" si="0"/>
        <v>0</v>
      </c>
      <c r="K17" s="152">
        <f>SUMIFS('9. Thu, chi PABT'!$T$11:$T$33,'9. Thu, chi PABT'!$B$11:$B$33,'TH Thưởng GPMB nhanh'!B17,'9. Thu, chi PABT'!$F$11:$F$33,'TH Thưởng GPMB nhanh'!C17,'9. Thu, chi PABT'!$J$11:$J$33,'TH Thưởng GPMB nhanh'!D17,'9. Thu, chi PABT'!$K$11:$K$33,'TH Thưởng GPMB nhanh'!E17,'9. Thu, chi PABT'!$L$11:$L$33,'TH Thưởng GPMB nhanh'!F17,'9. Thu, chi PABT'!$M$11:$M$33,'TH Thưởng GPMB nhanh'!G17,'9. Thu, chi PABT'!$R$11:$R$33,"&lt;"&amp;'TH Thưởng GPMB nhanh'!$D$5)</f>
        <v>0</v>
      </c>
      <c r="L17" s="152">
        <f>SUMIFS('9. Thu, chi PABT'!$U$11:$U$33,'9. Thu, chi PABT'!$B$11:$B$33,'TH Thưởng GPMB nhanh'!B17,'9. Thu, chi PABT'!$F$11:$F$33,'TH Thưởng GPMB nhanh'!C17,'9. Thu, chi PABT'!$J$11:$J$33,'TH Thưởng GPMB nhanh'!D17,'9. Thu, chi PABT'!$K$11:$K$33,'TH Thưởng GPMB nhanh'!E17,'9. Thu, chi PABT'!$L$11:$L$33,'TH Thưởng GPMB nhanh'!F17,'9. Thu, chi PABT'!$M$11:$M$33,'TH Thưởng GPMB nhanh'!G17,'9. Thu, chi PABT'!$R$11:$R$33,"&lt;"&amp;'TH Thưởng GPMB nhanh'!$D$5)</f>
        <v>0</v>
      </c>
      <c r="M17" s="130">
        <f t="shared" si="1"/>
        <v>0</v>
      </c>
      <c r="N17" s="152">
        <f>SUMIFS('9. Thu, chi PABT'!$T$11:$T$33,'9. Thu, chi PABT'!$B$11:$B$33,'TH Thưởng GPMB nhanh'!B17,'9. Thu, chi PABT'!$F$11:$F$33,'TH Thưởng GPMB nhanh'!C17,'9. Thu, chi PABT'!$J$11:$J$33,'TH Thưởng GPMB nhanh'!D17,'9. Thu, chi PABT'!$K$11:$K$33,'TH Thưởng GPMB nhanh'!E17,'9. Thu, chi PABT'!$L$11:$L$33,'TH Thưởng GPMB nhanh'!F17,'9. Thu, chi PABT'!$M$11:$M$33,'TH Thưởng GPMB nhanh'!G17,'9. Thu, chi PABT'!$R$11:$R$33,"&gt;="&amp;'TH Thưởng GPMB nhanh'!$D$5,'9. Thu, chi PABT'!$R$11:$R$33,"&lt;="&amp;'TH Thưởng GPMB nhanh'!$D$6)</f>
        <v>0</v>
      </c>
      <c r="O17" s="152">
        <f>SUMIFS('9. Thu, chi PABT'!$U$11:$U$33,'9. Thu, chi PABT'!$B$11:$B$33,'TH Thưởng GPMB nhanh'!B17,'9. Thu, chi PABT'!$F$11:$F$33,'TH Thưởng GPMB nhanh'!C17,'9. Thu, chi PABT'!$J$11:$J$33,'TH Thưởng GPMB nhanh'!D17,'9. Thu, chi PABT'!$K$11:$K$33,'TH Thưởng GPMB nhanh'!E17,'9. Thu, chi PABT'!$L$11:$L$33,'TH Thưởng GPMB nhanh'!F17,'9. Thu, chi PABT'!$M$11:$M$33,'TH Thưởng GPMB nhanh'!G17,'9. Thu, chi PABT'!$R$11:$R$33,"&gt;="&amp;'TH Thưởng GPMB nhanh'!$D$5,'9. Thu, chi PABT'!$R$11:$R$33,"&lt;="&amp;'TH Thưởng GPMB nhanh'!$D$6)</f>
        <v>0</v>
      </c>
      <c r="P17" s="130">
        <f t="shared" si="2"/>
        <v>0</v>
      </c>
      <c r="Q17" s="130">
        <f t="shared" si="3"/>
        <v>0</v>
      </c>
      <c r="R17" s="130">
        <f t="shared" si="4"/>
        <v>0</v>
      </c>
    </row>
    <row r="19" spans="1:18" ht="28.5" x14ac:dyDescent="0.25">
      <c r="B19" s="89" cm="1">
        <f t="array" ref="B19:G22">_xlfn.HSTACK(_xlfn._xlws.FILTER('4. C.Tiết P.Án B.Thường'!$B$11:$B$33,('4. C.Tiết P.Án B.Thường'!$F$11:$F$33&lt;&gt;"")*('4. C.Tiết P.Án B.Thường'!$H$11:$H$33="")*('4. C.Tiết P.Án B.Thường'!$G$11:$G$33&lt;'TH Thưởng GPMB nhanh'!$D$6)),_xlfn._xlws.FILTER('4. C.Tiết P.Án B.Thường'!$F$11:$F$33,('4. C.Tiết P.Án B.Thường'!$F$11:$F$33&lt;&gt;"")*('4. C.Tiết P.Án B.Thường'!$H$11:$H$33="")*('4. C.Tiết P.Án B.Thường'!$G$11:$G$33&lt;'TH Thưởng GPMB nhanh'!$D$6)),_xlfn._xlws.FILTER('4. C.Tiết P.Án B.Thường'!$J$11:$M$33,('4. C.Tiết P.Án B.Thường'!$F$11:$F$33&lt;&gt;"")*('4. C.Tiết P.Án B.Thường'!$H$11:$H$33="")*('4. C.Tiết P.Án B.Thường'!$G$11:$G$33&lt;'TH Thưởng GPMB nhanh'!$D$6)))</f>
        <v>110</v>
      </c>
      <c r="C19" s="89" t="str">
        <v>Tạm ứng</v>
      </c>
      <c r="D19" s="89" t="str">
        <v>Nguyễn Đức Anh</v>
      </c>
      <c r="E19" s="89" t="str">
        <v>Tiên Cát</v>
      </c>
      <c r="F19" s="89" t="str">
        <v>Minh Hà</v>
      </c>
      <c r="G19" s="89" t="str">
        <v>123A</v>
      </c>
    </row>
    <row r="20" spans="1:18" ht="28.5" x14ac:dyDescent="0.25">
      <c r="B20" s="89">
        <v>120</v>
      </c>
      <c r="C20" s="89">
        <v>220</v>
      </c>
      <c r="D20" s="89" t="str">
        <v>Nguyễn Đức Anh</v>
      </c>
      <c r="E20" s="89" t="str">
        <v>Tiên Cát</v>
      </c>
      <c r="F20" s="89" t="str">
        <v>Minh Hà</v>
      </c>
      <c r="G20" s="89" t="str">
        <v>123A</v>
      </c>
    </row>
    <row r="21" spans="1:18" ht="28.5" x14ac:dyDescent="0.25">
      <c r="B21" s="89">
        <v>130</v>
      </c>
      <c r="C21" s="89">
        <v>230</v>
      </c>
      <c r="D21" s="89" t="str">
        <v>Nguyễn Đức Anh</v>
      </c>
      <c r="E21" s="89" t="str">
        <v>Tiên Cát</v>
      </c>
      <c r="F21" s="89" t="str">
        <v>Minh Hà</v>
      </c>
      <c r="G21" s="89" t="str">
        <v>123A</v>
      </c>
    </row>
    <row r="22" spans="1:18" ht="28.5" x14ac:dyDescent="0.25">
      <c r="B22" s="89">
        <v>140</v>
      </c>
      <c r="C22" s="89">
        <v>240</v>
      </c>
      <c r="D22" s="89" t="str">
        <v>Nguyễn Đức Anh</v>
      </c>
      <c r="E22" s="89" t="str">
        <v>Tiên Cát</v>
      </c>
      <c r="F22" s="89" t="str">
        <v>Minh Hà</v>
      </c>
      <c r="G22" s="89" t="str">
        <v>123A</v>
      </c>
    </row>
    <row r="26" spans="1:18" ht="28.5" x14ac:dyDescent="0.25">
      <c r="B26" s="89" cm="1">
        <f t="array" ref="B26:G29">_xlfn.HSTACK(_xlfn._xlws.FILTER('4. C.Tiết P.Án B.Thường'!$B$11:$B$33,('4. C.Tiết P.Án B.Thường'!$F$11:$F$33&lt;&gt;"")*('4. C.Tiết P.Án B.Thường'!$H$11:$H$33&lt;&gt;"")*('4. C.Tiết P.Án B.Thường'!$I$11:$I$33&lt;'TH Thưởng GPMB nhanh'!$D$6)),_xlfn._xlws.FILTER('4. C.Tiết P.Án B.Thường'!$F$11:$F$33,('4. C.Tiết P.Án B.Thường'!$F$11:$F$33&lt;&gt;"")*('4. C.Tiết P.Án B.Thường'!$H$11:$H$33&lt;&gt;"")*('4. C.Tiết P.Án B.Thường'!$I$11:$I$33&lt;'TH Thưởng GPMB nhanh'!$D$6)),_xlfn._xlws.FILTER('4. C.Tiết P.Án B.Thường'!$J$11:$M$33,('4. C.Tiết P.Án B.Thường'!$F$11:$F$33&lt;&gt;"")*('4. C.Tiết P.Án B.Thường'!$H$11:$H$33&lt;&gt;"")*('4. C.Tiết P.Án B.Thường'!$I$11:$I$33&lt;'TH Thưởng GPMB nhanh'!$D$6)))</f>
        <v>120</v>
      </c>
      <c r="C26" s="89">
        <v>220</v>
      </c>
      <c r="D26" s="89" t="str">
        <v>Nguyễn Đức Anh</v>
      </c>
      <c r="E26" s="89" t="str">
        <v>Tiên Cát</v>
      </c>
      <c r="F26" s="89" t="str">
        <v>Minh Hà</v>
      </c>
      <c r="G26" s="89" t="str">
        <v>123A</v>
      </c>
    </row>
    <row r="27" spans="1:18" ht="28.5" x14ac:dyDescent="0.25">
      <c r="B27" s="89">
        <v>130</v>
      </c>
      <c r="C27" s="89">
        <v>230</v>
      </c>
      <c r="D27" s="89" t="str">
        <v>Nguyễn Đức Anh</v>
      </c>
      <c r="E27" s="89" t="str">
        <v>Tiên Cát</v>
      </c>
      <c r="F27" s="89" t="str">
        <v>Minh Hà</v>
      </c>
      <c r="G27" s="89" t="str">
        <v>123A</v>
      </c>
    </row>
    <row r="28" spans="1:18" ht="28.5" x14ac:dyDescent="0.25">
      <c r="B28" s="89">
        <v>130</v>
      </c>
      <c r="C28" s="89">
        <v>230</v>
      </c>
      <c r="D28" s="89" t="str">
        <v>Nguyễn Đức Anh</v>
      </c>
      <c r="E28" s="89" t="str">
        <v>Tiên Cát</v>
      </c>
      <c r="F28" s="89" t="str">
        <v>Minh Hà</v>
      </c>
      <c r="G28" s="89" t="str">
        <v>123A</v>
      </c>
    </row>
    <row r="29" spans="1:18" ht="28.5" x14ac:dyDescent="0.25">
      <c r="B29" s="89">
        <v>140</v>
      </c>
      <c r="C29" s="89">
        <v>240</v>
      </c>
      <c r="D29" s="89" t="str">
        <v>Nguyễn Đức Anh</v>
      </c>
      <c r="E29" s="89" t="str">
        <v>Tiên Cát</v>
      </c>
      <c r="F29" s="89" t="str">
        <v>Minh Hà</v>
      </c>
      <c r="G29" s="89" t="str">
        <v>123A</v>
      </c>
    </row>
    <row r="36" spans="2:7" ht="28.5" x14ac:dyDescent="0.25">
      <c r="B36" s="89" cm="1">
        <f t="array" ref="B36:G44">_xlfn.HSTACK(_xlfn._xlws.FILTER('9. Thu, chi PABT'!$B$11:$B$33,('9. Thu, chi PABT'!$F$11:$F$33&lt;&gt;"")*('9. Thu, chi PABT'!$R$11:$R$33&lt;'TH Thưởng GPMB nhanh'!$D$6)),_xlfn._xlws.FILTER('9. Thu, chi PABT'!$F$11:$F$33,('9. Thu, chi PABT'!$F$11:$F$33&lt;&gt;"")*('9. Thu, chi PABT'!$R$11:$R$33&lt;'TH Thưởng GPMB nhanh'!$D$6)),_xlfn._xlws.FILTER('9. Thu, chi PABT'!$J$11:$M$33,('9. Thu, chi PABT'!$F$11:$F$33&lt;&gt;"")*('9. Thu, chi PABT'!$R$11:$R$33&lt;'TH Thưởng GPMB nhanh'!$D$6)))</f>
        <v>110</v>
      </c>
      <c r="C36" s="89" t="str">
        <v>Tạm ứng</v>
      </c>
      <c r="D36" s="89" t="str">
        <v>Nguyễn Đức Anh</v>
      </c>
      <c r="E36" s="89" t="str">
        <v>Tiên Cát</v>
      </c>
      <c r="F36" s="89" t="str">
        <v>Minh Hà</v>
      </c>
      <c r="G36" s="89" t="str">
        <v>123A</v>
      </c>
    </row>
    <row r="37" spans="2:7" ht="28.5" x14ac:dyDescent="0.25">
      <c r="B37" s="89">
        <v>120</v>
      </c>
      <c r="C37" s="89">
        <v>220</v>
      </c>
      <c r="D37" s="89" t="str">
        <v>Nguyễn Đức Anh</v>
      </c>
      <c r="E37" s="89" t="str">
        <v>Tiên Cát</v>
      </c>
      <c r="F37" s="89" t="str">
        <v>Minh Hà</v>
      </c>
      <c r="G37" s="89" t="str">
        <v>123A</v>
      </c>
    </row>
    <row r="38" spans="2:7" ht="28.5" x14ac:dyDescent="0.25">
      <c r="B38" s="89">
        <v>120</v>
      </c>
      <c r="C38" s="89">
        <v>220</v>
      </c>
      <c r="D38" s="89" t="str">
        <v>Nguyễn Đức Anh</v>
      </c>
      <c r="E38" s="89" t="str">
        <v>Tiên Cát</v>
      </c>
      <c r="F38" s="89" t="str">
        <v>Minh Hà</v>
      </c>
      <c r="G38" s="89" t="str">
        <v>123A</v>
      </c>
    </row>
    <row r="39" spans="2:7" ht="28.5" x14ac:dyDescent="0.25">
      <c r="B39" s="89">
        <v>120</v>
      </c>
      <c r="C39" s="89">
        <v>220</v>
      </c>
      <c r="D39" s="89" t="str">
        <v>Nguyễn Đức Anh</v>
      </c>
      <c r="E39" s="89" t="str">
        <v>Tiên Cát</v>
      </c>
      <c r="F39" s="89" t="str">
        <v>Minh Hà</v>
      </c>
      <c r="G39" s="89" t="str">
        <v>123A</v>
      </c>
    </row>
    <row r="40" spans="2:7" ht="28.5" x14ac:dyDescent="0.25">
      <c r="B40" s="89">
        <v>130</v>
      </c>
      <c r="C40" s="89">
        <v>230</v>
      </c>
      <c r="D40" s="89" t="str">
        <v>Nguyễn Đức Anh</v>
      </c>
      <c r="E40" s="89" t="str">
        <v>Tiên Cát</v>
      </c>
      <c r="F40" s="89" t="str">
        <v>Minh Hà</v>
      </c>
      <c r="G40" s="89" t="str">
        <v>123A</v>
      </c>
    </row>
    <row r="41" spans="2:7" ht="28.5" x14ac:dyDescent="0.25">
      <c r="B41" s="89">
        <v>130</v>
      </c>
      <c r="C41" s="89">
        <v>230</v>
      </c>
      <c r="D41" s="89" t="str">
        <v>Nguyễn Đức Anh</v>
      </c>
      <c r="E41" s="89" t="str">
        <v>Tiên Cát</v>
      </c>
      <c r="F41" s="89" t="str">
        <v>Minh Hà</v>
      </c>
      <c r="G41" s="89" t="str">
        <v>123A</v>
      </c>
    </row>
    <row r="42" spans="2:7" ht="28.5" x14ac:dyDescent="0.25">
      <c r="B42" s="89">
        <v>130</v>
      </c>
      <c r="C42" s="89">
        <v>230</v>
      </c>
      <c r="D42" s="89" t="str">
        <v>Nguyễn Đức Anh</v>
      </c>
      <c r="E42" s="89" t="str">
        <v>Tiên Cát</v>
      </c>
      <c r="F42" s="89" t="str">
        <v>Minh Hà</v>
      </c>
      <c r="G42" s="89" t="str">
        <v>123A</v>
      </c>
    </row>
    <row r="43" spans="2:7" ht="28.5" x14ac:dyDescent="0.25">
      <c r="B43" s="89">
        <v>140</v>
      </c>
      <c r="C43" s="89">
        <v>240</v>
      </c>
      <c r="D43" s="89" t="str">
        <v>Nguyễn Đức Anh</v>
      </c>
      <c r="E43" s="89" t="str">
        <v>Tiên Cát</v>
      </c>
      <c r="F43" s="89" t="str">
        <v>Minh Hà</v>
      </c>
      <c r="G43" s="89" t="str">
        <v>123A</v>
      </c>
    </row>
    <row r="44" spans="2:7" ht="28.5" x14ac:dyDescent="0.25">
      <c r="B44" s="89">
        <v>140</v>
      </c>
      <c r="C44" s="89">
        <v>240</v>
      </c>
      <c r="D44" s="89" t="str">
        <v>Nguyễn Đức Anh</v>
      </c>
      <c r="E44" s="89" t="str">
        <v>Tiên Cát</v>
      </c>
      <c r="F44" s="89" t="str">
        <v>Minh Hà</v>
      </c>
      <c r="G44" s="89" t="str">
        <v>123A</v>
      </c>
    </row>
  </sheetData>
  <mergeCells count="7">
    <mergeCell ref="A1:F1"/>
    <mergeCell ref="A2:F2"/>
    <mergeCell ref="A4:R4"/>
    <mergeCell ref="D7:G7"/>
    <mergeCell ref="H7:J7"/>
    <mergeCell ref="K7:R7"/>
    <mergeCell ref="A7:C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2EEE-DB65-43A9-A8DC-571F2FDC7BD4}">
  <sheetPr>
    <tabColor rgb="FF92D050"/>
  </sheetPr>
  <dimension ref="A1:L18"/>
  <sheetViews>
    <sheetView zoomScaleNormal="100" workbookViewId="0">
      <selection activeCell="O31" sqref="O31"/>
    </sheetView>
  </sheetViews>
  <sheetFormatPr defaultColWidth="8.85546875" defaultRowHeight="12.75" x14ac:dyDescent="0.25"/>
  <cols>
    <col min="1" max="1" width="5.42578125" style="16" customWidth="1"/>
    <col min="2" max="3" width="11.7109375" style="13" customWidth="1"/>
    <col min="4" max="6" width="18.85546875" style="50" customWidth="1"/>
    <col min="7" max="11" width="18.85546875" style="51" customWidth="1"/>
    <col min="12" max="12" width="18.85546875" style="16" customWidth="1"/>
    <col min="13" max="16384" width="8.85546875" style="16"/>
  </cols>
  <sheetData>
    <row r="1" spans="1:12" ht="15.75" x14ac:dyDescent="0.25">
      <c r="A1" s="168" t="s">
        <v>9</v>
      </c>
      <c r="B1" s="168"/>
      <c r="C1" s="168"/>
      <c r="D1" s="168"/>
      <c r="E1" s="44"/>
      <c r="F1" s="44"/>
      <c r="G1" s="44"/>
      <c r="H1" s="44"/>
      <c r="I1" s="44"/>
      <c r="J1" s="44"/>
      <c r="K1" s="45"/>
      <c r="L1" s="2"/>
    </row>
    <row r="2" spans="1:12" ht="15.75" x14ac:dyDescent="0.25">
      <c r="A2" s="168" t="s">
        <v>10</v>
      </c>
      <c r="B2" s="168"/>
      <c r="C2" s="168"/>
      <c r="D2" s="168"/>
      <c r="E2" s="44"/>
      <c r="F2" s="44"/>
      <c r="G2" s="44"/>
      <c r="H2" s="44"/>
      <c r="I2" s="44"/>
      <c r="J2" s="44"/>
      <c r="K2" s="45"/>
      <c r="L2" s="2"/>
    </row>
    <row r="3" spans="1:12" ht="15.75" x14ac:dyDescent="0.25">
      <c r="A3" s="168" t="s">
        <v>223</v>
      </c>
      <c r="B3" s="168"/>
      <c r="C3" s="168"/>
      <c r="D3" s="168"/>
      <c r="E3" s="168"/>
      <c r="F3" s="168"/>
      <c r="G3" s="168"/>
      <c r="H3" s="168"/>
      <c r="I3" s="168"/>
      <c r="J3" s="168"/>
      <c r="K3" s="168"/>
      <c r="L3" s="168"/>
    </row>
    <row r="4" spans="1:12" x14ac:dyDescent="0.25">
      <c r="C4" s="26"/>
      <c r="K4" s="55"/>
    </row>
    <row r="5" spans="1:12" ht="13.9" customHeight="1" x14ac:dyDescent="0.25">
      <c r="A5" s="181" t="s">
        <v>104</v>
      </c>
      <c r="B5" s="181"/>
      <c r="C5" s="181"/>
      <c r="D5" s="187" t="s">
        <v>106</v>
      </c>
      <c r="E5" s="188"/>
      <c r="F5" s="189"/>
      <c r="G5" s="187" t="s">
        <v>107</v>
      </c>
      <c r="H5" s="188"/>
      <c r="I5" s="189"/>
      <c r="J5" s="187" t="s">
        <v>62</v>
      </c>
      <c r="K5" s="188"/>
      <c r="L5" s="189"/>
    </row>
    <row r="6" spans="1:12" ht="38.25" x14ac:dyDescent="0.25">
      <c r="A6" s="33" t="s">
        <v>0</v>
      </c>
      <c r="B6" s="33" t="s">
        <v>200</v>
      </c>
      <c r="C6" s="34" t="s">
        <v>206</v>
      </c>
      <c r="D6" s="116" t="s">
        <v>218</v>
      </c>
      <c r="E6" s="116" t="s">
        <v>105</v>
      </c>
      <c r="F6" s="116" t="s">
        <v>219</v>
      </c>
      <c r="G6" s="116" t="s">
        <v>218</v>
      </c>
      <c r="H6" s="116" t="s">
        <v>105</v>
      </c>
      <c r="I6" s="116" t="s">
        <v>219</v>
      </c>
      <c r="J6" s="116" t="s">
        <v>220</v>
      </c>
      <c r="K6" s="116" t="s">
        <v>221</v>
      </c>
      <c r="L6" s="111" t="s">
        <v>222</v>
      </c>
    </row>
    <row r="7" spans="1:12" x14ac:dyDescent="0.25">
      <c r="A7" s="90"/>
      <c r="B7" s="90"/>
      <c r="C7" s="90"/>
      <c r="D7" s="38">
        <f>SUBTOTAL(9,D8:D19999)</f>
        <v>4100000000</v>
      </c>
      <c r="E7" s="38">
        <f t="shared" ref="E7:L7" si="0">SUBTOTAL(9,E8:E19999)</f>
        <v>310000000</v>
      </c>
      <c r="F7" s="38">
        <f t="shared" si="0"/>
        <v>4410000000</v>
      </c>
      <c r="G7" s="38">
        <f t="shared" si="0"/>
        <v>3900000000</v>
      </c>
      <c r="H7" s="38">
        <f t="shared" si="0"/>
        <v>310000000</v>
      </c>
      <c r="I7" s="38">
        <f t="shared" si="0"/>
        <v>4210000000</v>
      </c>
      <c r="J7" s="38">
        <f t="shared" si="0"/>
        <v>200000000</v>
      </c>
      <c r="K7" s="38">
        <f t="shared" si="0"/>
        <v>0</v>
      </c>
      <c r="L7" s="38">
        <f t="shared" si="0"/>
        <v>200000000</v>
      </c>
    </row>
    <row r="8" spans="1:12" x14ac:dyDescent="0.25">
      <c r="A8" s="7">
        <v>1</v>
      </c>
      <c r="B8" s="8" cm="1">
        <f t="array" ref="B8:B12">_xlfn.UNIQUE('4.1 TH P.Án B.Thường'!$B$9:$B$19999)</f>
        <v>120</v>
      </c>
      <c r="C8" s="9">
        <f>IF(AND(B8&lt;&gt;"",B8&lt;&gt;0),INDEX(Table6[N/T/N PABT gốc],MATCH(B8,Table6[Số QĐ bồi thường gốc],0)),"")</f>
        <v>45356</v>
      </c>
      <c r="D8" s="40">
        <f>SUMIFS('4.1 TH P.Án B.Thường'!$J$9:$J$19999,'4.1 TH P.Án B.Thường'!$B$9:$B$19999,'4.2 TH PABT theo QĐ PABT'!$B8)</f>
        <v>1100000000</v>
      </c>
      <c r="E8" s="40">
        <f>SUMIFS('4.1 TH P.Án B.Thường'!$K$9:$K$19999,'4.1 TH P.Án B.Thường'!$B$9:$B$19999,'4.2 TH PABT theo QĐ PABT'!$B8)</f>
        <v>90000000</v>
      </c>
      <c r="F8" s="41">
        <f>D8+E8</f>
        <v>1190000000</v>
      </c>
      <c r="G8" s="40">
        <f>SUMIFS('4.1 TH P.Án B.Thường'!$M$9:$M$19999,'4.1 TH P.Án B.Thường'!$B$9:$B$19999,'4.2 TH PABT theo QĐ PABT'!$B8)</f>
        <v>900000000</v>
      </c>
      <c r="H8" s="40">
        <f>SUMIFS('4.1 TH P.Án B.Thường'!$N$9:$N$19999,'4.1 TH P.Án B.Thường'!$B$9:$B$19999,'4.2 TH PABT theo QĐ PABT'!$B8)</f>
        <v>90000000</v>
      </c>
      <c r="I8" s="41">
        <f>G8+H8</f>
        <v>990000000</v>
      </c>
      <c r="J8" s="41">
        <f>D8-G8</f>
        <v>200000000</v>
      </c>
      <c r="K8" s="41">
        <f t="shared" ref="K8:L8" si="1">E8-H8</f>
        <v>0</v>
      </c>
      <c r="L8" s="41">
        <f t="shared" si="1"/>
        <v>200000000</v>
      </c>
    </row>
    <row r="9" spans="1:12" x14ac:dyDescent="0.25">
      <c r="A9" s="7">
        <v>2</v>
      </c>
      <c r="B9" s="8">
        <v>130</v>
      </c>
      <c r="C9" s="9">
        <f>IF(AND(B9&lt;&gt;"",B9&lt;&gt;0),INDEX(Table6[N/T/N PABT gốc],MATCH(B9,Table6[Số QĐ bồi thường gốc],0)),"")</f>
        <v>45387</v>
      </c>
      <c r="D9" s="40">
        <f>SUMIFS('4.1 TH P.Án B.Thường'!$J$9:$J$19999,'4.1 TH P.Án B.Thường'!$B$9:$B$19999,'4.2 TH PABT theo QĐ PABT'!$B9)</f>
        <v>2100000000</v>
      </c>
      <c r="E9" s="40">
        <f>SUMIFS('4.1 TH P.Án B.Thường'!$K$9:$K$19999,'4.1 TH P.Án B.Thường'!$B$9:$B$19999,'4.2 TH PABT theo QĐ PABT'!$B9)</f>
        <v>130000000</v>
      </c>
      <c r="F9" s="41">
        <f t="shared" ref="F9:F18" si="2">D9+E9</f>
        <v>2230000000</v>
      </c>
      <c r="G9" s="40">
        <f>SUMIFS('4.1 TH P.Án B.Thường'!$M$9:$M$19999,'4.1 TH P.Án B.Thường'!$B$9:$B$19999,'4.2 TH PABT theo QĐ PABT'!$B9)</f>
        <v>2100000000</v>
      </c>
      <c r="H9" s="40">
        <f>SUMIFS('4.1 TH P.Án B.Thường'!$N$9:$N$19999,'4.1 TH P.Án B.Thường'!$B$9:$B$19999,'4.2 TH PABT theo QĐ PABT'!$B9)</f>
        <v>130000000</v>
      </c>
      <c r="I9" s="41">
        <f t="shared" ref="I9:I18" si="3">G9+H9</f>
        <v>2230000000</v>
      </c>
      <c r="J9" s="41">
        <f t="shared" ref="J9:J18" si="4">D9-G9</f>
        <v>0</v>
      </c>
      <c r="K9" s="41">
        <f t="shared" ref="K9:K18" si="5">E9-H9</f>
        <v>0</v>
      </c>
      <c r="L9" s="41">
        <f t="shared" ref="L9:L18" si="6">F9-I9</f>
        <v>0</v>
      </c>
    </row>
    <row r="10" spans="1:12" x14ac:dyDescent="0.25">
      <c r="A10" s="7">
        <v>3</v>
      </c>
      <c r="B10" s="8">
        <v>140</v>
      </c>
      <c r="C10" s="9">
        <f>IF(AND(B10&lt;&gt;"",B10&lt;&gt;0),INDEX(Table6[N/T/N PABT gốc],MATCH(B10,Table6[Số QĐ bồi thường gốc],0)),"")</f>
        <v>45417</v>
      </c>
      <c r="D10" s="40">
        <f>SUMIFS('4.1 TH P.Án B.Thường'!$J$9:$J$19999,'4.1 TH P.Án B.Thường'!$B$9:$B$19999,'4.2 TH PABT theo QĐ PABT'!$B10)</f>
        <v>900000000</v>
      </c>
      <c r="E10" s="40">
        <f>SUMIFS('4.1 TH P.Án B.Thường'!$K$9:$K$19999,'4.1 TH P.Án B.Thường'!$B$9:$B$19999,'4.2 TH PABT theo QĐ PABT'!$B10)</f>
        <v>90000000</v>
      </c>
      <c r="F10" s="41">
        <f t="shared" si="2"/>
        <v>990000000</v>
      </c>
      <c r="G10" s="40">
        <f>SUMIFS('4.1 TH P.Án B.Thường'!$M$9:$M$19999,'4.1 TH P.Án B.Thường'!$B$9:$B$19999,'4.2 TH PABT theo QĐ PABT'!$B10)</f>
        <v>900000000</v>
      </c>
      <c r="H10" s="40">
        <f>SUMIFS('4.1 TH P.Án B.Thường'!$N$9:$N$19999,'4.1 TH P.Án B.Thường'!$B$9:$B$19999,'4.2 TH PABT theo QĐ PABT'!$B10)</f>
        <v>90000000</v>
      </c>
      <c r="I10" s="41">
        <f t="shared" si="3"/>
        <v>990000000</v>
      </c>
      <c r="J10" s="41">
        <f t="shared" si="4"/>
        <v>0</v>
      </c>
      <c r="K10" s="41">
        <f t="shared" si="5"/>
        <v>0</v>
      </c>
      <c r="L10" s="41">
        <f t="shared" si="6"/>
        <v>0</v>
      </c>
    </row>
    <row r="11" spans="1:12" x14ac:dyDescent="0.25">
      <c r="A11" s="7">
        <v>4</v>
      </c>
      <c r="B11" s="8">
        <v>0</v>
      </c>
      <c r="C11" s="9" t="str">
        <f>IF(AND(B11&lt;&gt;"",B11&lt;&gt;0),INDEX(Table6[N/T/N PABT gốc],MATCH(B11,Table6[Số QĐ bồi thường gốc],0)),"")</f>
        <v/>
      </c>
      <c r="D11" s="40">
        <f>SUMIFS('4.1 TH P.Án B.Thường'!$J$9:$J$19999,'4.1 TH P.Án B.Thường'!$B$9:$B$19999,'4.2 TH PABT theo QĐ PABT'!$B11)</f>
        <v>0</v>
      </c>
      <c r="E11" s="40">
        <f>SUMIFS('4.1 TH P.Án B.Thường'!$K$9:$K$19999,'4.1 TH P.Án B.Thường'!$B$9:$B$19999,'4.2 TH PABT theo QĐ PABT'!$B11)</f>
        <v>0</v>
      </c>
      <c r="F11" s="41">
        <f t="shared" si="2"/>
        <v>0</v>
      </c>
      <c r="G11" s="40">
        <f>SUMIFS('4.1 TH P.Án B.Thường'!$M$9:$M$19999,'4.1 TH P.Án B.Thường'!$B$9:$B$19999,'4.2 TH PABT theo QĐ PABT'!$B11)</f>
        <v>0</v>
      </c>
      <c r="H11" s="40">
        <f>SUMIFS('4.1 TH P.Án B.Thường'!$N$9:$N$19999,'4.1 TH P.Án B.Thường'!$B$9:$B$19999,'4.2 TH PABT theo QĐ PABT'!$B11)</f>
        <v>0</v>
      </c>
      <c r="I11" s="41">
        <f t="shared" si="3"/>
        <v>0</v>
      </c>
      <c r="J11" s="41">
        <f t="shared" si="4"/>
        <v>0</v>
      </c>
      <c r="K11" s="41">
        <f t="shared" si="5"/>
        <v>0</v>
      </c>
      <c r="L11" s="41">
        <f t="shared" si="6"/>
        <v>0</v>
      </c>
    </row>
    <row r="12" spans="1:12" x14ac:dyDescent="0.25">
      <c r="A12" s="7">
        <v>5</v>
      </c>
      <c r="B12" s="8">
        <v>0</v>
      </c>
      <c r="C12" s="9" t="str">
        <f>IF(AND(B12&lt;&gt;"",B12&lt;&gt;0),INDEX(Table6[N/T/N PABT gốc],MATCH(B12,Table6[Số QĐ bồi thường gốc],0)),"")</f>
        <v/>
      </c>
      <c r="D12" s="40">
        <f>SUMIFS('4.1 TH P.Án B.Thường'!$J$9:$J$19999,'4.1 TH P.Án B.Thường'!$B$9:$B$19999,'4.2 TH PABT theo QĐ PABT'!$B12)</f>
        <v>0</v>
      </c>
      <c r="E12" s="40">
        <f>SUMIFS('4.1 TH P.Án B.Thường'!$K$9:$K$19999,'4.1 TH P.Án B.Thường'!$B$9:$B$19999,'4.2 TH PABT theo QĐ PABT'!$B12)</f>
        <v>0</v>
      </c>
      <c r="F12" s="41">
        <f t="shared" si="2"/>
        <v>0</v>
      </c>
      <c r="G12" s="40">
        <f>SUMIFS('4.1 TH P.Án B.Thường'!$M$9:$M$19999,'4.1 TH P.Án B.Thường'!$B$9:$B$19999,'4.2 TH PABT theo QĐ PABT'!$B12)</f>
        <v>0</v>
      </c>
      <c r="H12" s="40">
        <f>SUMIFS('4.1 TH P.Án B.Thường'!$N$9:$N$19999,'4.1 TH P.Án B.Thường'!$B$9:$B$19999,'4.2 TH PABT theo QĐ PABT'!$B12)</f>
        <v>0</v>
      </c>
      <c r="I12" s="41">
        <f t="shared" si="3"/>
        <v>0</v>
      </c>
      <c r="J12" s="41">
        <f t="shared" si="4"/>
        <v>0</v>
      </c>
      <c r="K12" s="41">
        <f t="shared" si="5"/>
        <v>0</v>
      </c>
      <c r="L12" s="41">
        <f t="shared" si="6"/>
        <v>0</v>
      </c>
    </row>
    <row r="13" spans="1:12" x14ac:dyDescent="0.25">
      <c r="A13" s="7">
        <v>6</v>
      </c>
      <c r="B13" s="8"/>
      <c r="C13" s="9" t="str">
        <f>IF(AND(B13&lt;&gt;"",B13&lt;&gt;0),INDEX(Table6[N/T/N PABT gốc],MATCH(B13,Table6[Số QĐ bồi thường gốc],0)),"")</f>
        <v/>
      </c>
      <c r="D13" s="40">
        <f>SUMIFS('4.1 TH P.Án B.Thường'!$J$9:$J$19999,'4.1 TH P.Án B.Thường'!$B$9:$B$19999,'4.2 TH PABT theo QĐ PABT'!$B13)</f>
        <v>0</v>
      </c>
      <c r="E13" s="40">
        <f>SUMIFS('4.1 TH P.Án B.Thường'!$K$9:$K$19999,'4.1 TH P.Án B.Thường'!$B$9:$B$19999,'4.2 TH PABT theo QĐ PABT'!$B13)</f>
        <v>0</v>
      </c>
      <c r="F13" s="41">
        <f t="shared" si="2"/>
        <v>0</v>
      </c>
      <c r="G13" s="40">
        <f>SUMIFS('4.1 TH P.Án B.Thường'!$M$9:$M$19999,'4.1 TH P.Án B.Thường'!$B$9:$B$19999,'4.2 TH PABT theo QĐ PABT'!$B13)</f>
        <v>0</v>
      </c>
      <c r="H13" s="40">
        <f>SUMIFS('4.1 TH P.Án B.Thường'!$N$9:$N$19999,'4.1 TH P.Án B.Thường'!$B$9:$B$19999,'4.2 TH PABT theo QĐ PABT'!$B13)</f>
        <v>0</v>
      </c>
      <c r="I13" s="41">
        <f t="shared" si="3"/>
        <v>0</v>
      </c>
      <c r="J13" s="41">
        <f t="shared" si="4"/>
        <v>0</v>
      </c>
      <c r="K13" s="41">
        <f t="shared" si="5"/>
        <v>0</v>
      </c>
      <c r="L13" s="41">
        <f t="shared" si="6"/>
        <v>0</v>
      </c>
    </row>
    <row r="14" spans="1:12" x14ac:dyDescent="0.25">
      <c r="A14" s="7">
        <v>7</v>
      </c>
      <c r="B14" s="8"/>
      <c r="C14" s="9" t="str">
        <f>IF(AND(B14&lt;&gt;"",B14&lt;&gt;0),INDEX(Table6[N/T/N PABT gốc],MATCH(B14,Table6[Số QĐ bồi thường gốc],0)),"")</f>
        <v/>
      </c>
      <c r="D14" s="40">
        <f>SUMIFS('4.1 TH P.Án B.Thường'!$J$9:$J$19999,'4.1 TH P.Án B.Thường'!$B$9:$B$19999,'4.2 TH PABT theo QĐ PABT'!$B14)</f>
        <v>0</v>
      </c>
      <c r="E14" s="40">
        <f>SUMIFS('4.1 TH P.Án B.Thường'!$K$9:$K$19999,'4.1 TH P.Án B.Thường'!$B$9:$B$19999,'4.2 TH PABT theo QĐ PABT'!$B14)</f>
        <v>0</v>
      </c>
      <c r="F14" s="41">
        <f t="shared" si="2"/>
        <v>0</v>
      </c>
      <c r="G14" s="40">
        <f>SUMIFS('4.1 TH P.Án B.Thường'!$M$9:$M$19999,'4.1 TH P.Án B.Thường'!$B$9:$B$19999,'4.2 TH PABT theo QĐ PABT'!$B14)</f>
        <v>0</v>
      </c>
      <c r="H14" s="40">
        <f>SUMIFS('4.1 TH P.Án B.Thường'!$N$9:$N$19999,'4.1 TH P.Án B.Thường'!$B$9:$B$19999,'4.2 TH PABT theo QĐ PABT'!$B14)</f>
        <v>0</v>
      </c>
      <c r="I14" s="41">
        <f t="shared" si="3"/>
        <v>0</v>
      </c>
      <c r="J14" s="41">
        <f t="shared" si="4"/>
        <v>0</v>
      </c>
      <c r="K14" s="41">
        <f t="shared" si="5"/>
        <v>0</v>
      </c>
      <c r="L14" s="41">
        <f t="shared" si="6"/>
        <v>0</v>
      </c>
    </row>
    <row r="15" spans="1:12" x14ac:dyDescent="0.25">
      <c r="A15" s="7">
        <v>8</v>
      </c>
      <c r="B15" s="8"/>
      <c r="C15" s="9" t="str">
        <f>IF(AND(B15&lt;&gt;"",B15&lt;&gt;0),INDEX(Table6[N/T/N PABT gốc],MATCH(B15,Table6[Số QĐ bồi thường gốc],0)),"")</f>
        <v/>
      </c>
      <c r="D15" s="40">
        <f>SUMIFS('4.1 TH P.Án B.Thường'!$J$9:$J$19999,'4.1 TH P.Án B.Thường'!$B$9:$B$19999,'4.2 TH PABT theo QĐ PABT'!$B15)</f>
        <v>0</v>
      </c>
      <c r="E15" s="40">
        <f>SUMIFS('4.1 TH P.Án B.Thường'!$K$9:$K$19999,'4.1 TH P.Án B.Thường'!$B$9:$B$19999,'4.2 TH PABT theo QĐ PABT'!$B15)</f>
        <v>0</v>
      </c>
      <c r="F15" s="41">
        <f t="shared" si="2"/>
        <v>0</v>
      </c>
      <c r="G15" s="40">
        <f>SUMIFS('4.1 TH P.Án B.Thường'!$M$9:$M$19999,'4.1 TH P.Án B.Thường'!$B$9:$B$19999,'4.2 TH PABT theo QĐ PABT'!$B15)</f>
        <v>0</v>
      </c>
      <c r="H15" s="40">
        <f>SUMIFS('4.1 TH P.Án B.Thường'!$N$9:$N$19999,'4.1 TH P.Án B.Thường'!$B$9:$B$19999,'4.2 TH PABT theo QĐ PABT'!$B15)</f>
        <v>0</v>
      </c>
      <c r="I15" s="41">
        <f t="shared" si="3"/>
        <v>0</v>
      </c>
      <c r="J15" s="41">
        <f t="shared" si="4"/>
        <v>0</v>
      </c>
      <c r="K15" s="41">
        <f t="shared" si="5"/>
        <v>0</v>
      </c>
      <c r="L15" s="41">
        <f t="shared" si="6"/>
        <v>0</v>
      </c>
    </row>
    <row r="16" spans="1:12" x14ac:dyDescent="0.25">
      <c r="A16" s="7">
        <v>9</v>
      </c>
      <c r="B16" s="8"/>
      <c r="C16" s="9" t="str">
        <f>IF(AND(B16&lt;&gt;"",B16&lt;&gt;0),INDEX(Table6[N/T/N PABT gốc],MATCH(B16,Table6[Số QĐ bồi thường gốc],0)),"")</f>
        <v/>
      </c>
      <c r="D16" s="40">
        <f>SUMIFS('4.1 TH P.Án B.Thường'!$J$9:$J$19999,'4.1 TH P.Án B.Thường'!$B$9:$B$19999,'4.2 TH PABT theo QĐ PABT'!$B16)</f>
        <v>0</v>
      </c>
      <c r="E16" s="40">
        <f>SUMIFS('4.1 TH P.Án B.Thường'!$K$9:$K$19999,'4.1 TH P.Án B.Thường'!$B$9:$B$19999,'4.2 TH PABT theo QĐ PABT'!$B16)</f>
        <v>0</v>
      </c>
      <c r="F16" s="41">
        <f t="shared" si="2"/>
        <v>0</v>
      </c>
      <c r="G16" s="40">
        <f>SUMIFS('4.1 TH P.Án B.Thường'!$M$9:$M$19999,'4.1 TH P.Án B.Thường'!$B$9:$B$19999,'4.2 TH PABT theo QĐ PABT'!$B16)</f>
        <v>0</v>
      </c>
      <c r="H16" s="40">
        <f>SUMIFS('4.1 TH P.Án B.Thường'!$N$9:$N$19999,'4.1 TH P.Án B.Thường'!$B$9:$B$19999,'4.2 TH PABT theo QĐ PABT'!$B16)</f>
        <v>0</v>
      </c>
      <c r="I16" s="41">
        <f t="shared" si="3"/>
        <v>0</v>
      </c>
      <c r="J16" s="41">
        <f t="shared" si="4"/>
        <v>0</v>
      </c>
      <c r="K16" s="41">
        <f t="shared" si="5"/>
        <v>0</v>
      </c>
      <c r="L16" s="41">
        <f t="shared" si="6"/>
        <v>0</v>
      </c>
    </row>
    <row r="17" spans="1:12" x14ac:dyDescent="0.25">
      <c r="A17" s="7">
        <v>10</v>
      </c>
      <c r="B17" s="8"/>
      <c r="C17" s="9" t="str">
        <f>IF(AND(B17&lt;&gt;"",B17&lt;&gt;0),INDEX(Table6[N/T/N PABT gốc],MATCH(B17,Table6[Số QĐ bồi thường gốc],0)),"")</f>
        <v/>
      </c>
      <c r="D17" s="40">
        <f>SUMIFS('4.1 TH P.Án B.Thường'!$J$9:$J$19999,'4.1 TH P.Án B.Thường'!$B$9:$B$19999,'4.2 TH PABT theo QĐ PABT'!$B17)</f>
        <v>0</v>
      </c>
      <c r="E17" s="40">
        <f>SUMIFS('4.1 TH P.Án B.Thường'!$K$9:$K$19999,'4.1 TH P.Án B.Thường'!$B$9:$B$19999,'4.2 TH PABT theo QĐ PABT'!$B17)</f>
        <v>0</v>
      </c>
      <c r="F17" s="41">
        <f t="shared" si="2"/>
        <v>0</v>
      </c>
      <c r="G17" s="40">
        <f>SUMIFS('4.1 TH P.Án B.Thường'!$M$9:$M$19999,'4.1 TH P.Án B.Thường'!$B$9:$B$19999,'4.2 TH PABT theo QĐ PABT'!$B17)</f>
        <v>0</v>
      </c>
      <c r="H17" s="40">
        <f>SUMIFS('4.1 TH P.Án B.Thường'!$N$9:$N$19999,'4.1 TH P.Án B.Thường'!$B$9:$B$19999,'4.2 TH PABT theo QĐ PABT'!$B17)</f>
        <v>0</v>
      </c>
      <c r="I17" s="41">
        <f t="shared" si="3"/>
        <v>0</v>
      </c>
      <c r="J17" s="41">
        <f t="shared" si="4"/>
        <v>0</v>
      </c>
      <c r="K17" s="41">
        <f t="shared" si="5"/>
        <v>0</v>
      </c>
      <c r="L17" s="41">
        <f t="shared" si="6"/>
        <v>0</v>
      </c>
    </row>
    <row r="18" spans="1:12" x14ac:dyDescent="0.25">
      <c r="A18" s="7">
        <v>11</v>
      </c>
      <c r="B18" s="8"/>
      <c r="C18" s="9" t="str">
        <f>IF(AND(B18&lt;&gt;"",B18&lt;&gt;0),INDEX(Table6[N/T/N PABT gốc],MATCH(B18,Table6[Số QĐ bồi thường gốc],0)),"")</f>
        <v/>
      </c>
      <c r="D18" s="40">
        <f>SUMIFS('4.1 TH P.Án B.Thường'!$J$9:$J$19999,'4.1 TH P.Án B.Thường'!$B$9:$B$19999,'4.2 TH PABT theo QĐ PABT'!$B18)</f>
        <v>0</v>
      </c>
      <c r="E18" s="40">
        <f>SUMIFS('4.1 TH P.Án B.Thường'!$K$9:$K$19999,'4.1 TH P.Án B.Thường'!$B$9:$B$19999,'4.2 TH PABT theo QĐ PABT'!$B18)</f>
        <v>0</v>
      </c>
      <c r="F18" s="41">
        <f t="shared" si="2"/>
        <v>0</v>
      </c>
      <c r="G18" s="40">
        <f>SUMIFS('4.1 TH P.Án B.Thường'!$M$9:$M$19999,'4.1 TH P.Án B.Thường'!$B$9:$B$19999,'4.2 TH PABT theo QĐ PABT'!$B18)</f>
        <v>0</v>
      </c>
      <c r="H18" s="40">
        <f>SUMIFS('4.1 TH P.Án B.Thường'!$N$9:$N$19999,'4.1 TH P.Án B.Thường'!$B$9:$B$19999,'4.2 TH PABT theo QĐ PABT'!$B18)</f>
        <v>0</v>
      </c>
      <c r="I18" s="41">
        <f t="shared" si="3"/>
        <v>0</v>
      </c>
      <c r="J18" s="41">
        <f t="shared" si="4"/>
        <v>0</v>
      </c>
      <c r="K18" s="41">
        <f t="shared" si="5"/>
        <v>0</v>
      </c>
      <c r="L18" s="41">
        <f t="shared" si="6"/>
        <v>0</v>
      </c>
    </row>
  </sheetData>
  <mergeCells count="7">
    <mergeCell ref="A3:L3"/>
    <mergeCell ref="A1:D1"/>
    <mergeCell ref="A2:D2"/>
    <mergeCell ref="A5:C5"/>
    <mergeCell ref="D5:F5"/>
    <mergeCell ref="J5:L5"/>
    <mergeCell ref="G5:I5"/>
  </mergeCells>
  <conditionalFormatting sqref="B6 B1:B2 A5 B4">
    <cfRule type="duplicateValues" dxfId="3" priority="5"/>
    <cfRule type="duplicateValues" dxfId="2" priority="6"/>
    <cfRule type="duplicateValues" dxfId="1" priority="7"/>
    <cfRule type="duplicateValues" dxfId="0" priority="8"/>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D48FA-F8A0-4FAB-820E-1370B69F0860}">
  <sheetPr>
    <tabColor rgb="FF92D050"/>
  </sheetPr>
  <dimension ref="A1:N22"/>
  <sheetViews>
    <sheetView workbookViewId="0">
      <selection activeCell="F9" sqref="F9"/>
    </sheetView>
  </sheetViews>
  <sheetFormatPr defaultColWidth="8.85546875" defaultRowHeight="15" x14ac:dyDescent="0.25"/>
  <cols>
    <col min="1" max="1" width="4.7109375" style="87" customWidth="1"/>
    <col min="2" max="2" width="22.7109375" style="89" customWidth="1"/>
    <col min="3" max="5" width="11.5703125" style="89" customWidth="1"/>
    <col min="6" max="6" width="14.85546875" style="106" bestFit="1" customWidth="1"/>
    <col min="7" max="7" width="14.42578125" style="106" customWidth="1"/>
    <col min="8" max="9" width="14.85546875" style="106" bestFit="1" customWidth="1"/>
    <col min="10" max="10" width="14.42578125" style="106" customWidth="1"/>
    <col min="11" max="11" width="14.85546875" style="106" bestFit="1" customWidth="1"/>
    <col min="12" max="14" width="14.42578125" style="106" customWidth="1"/>
    <col min="15" max="16384" width="8.85546875" style="87"/>
  </cols>
  <sheetData>
    <row r="1" spans="1:14" ht="13.9" customHeight="1" x14ac:dyDescent="0.25">
      <c r="A1" s="169" t="s">
        <v>9</v>
      </c>
      <c r="B1" s="169"/>
      <c r="C1" s="169"/>
      <c r="D1" s="169"/>
      <c r="E1" s="13"/>
      <c r="F1" s="50"/>
      <c r="G1" s="50"/>
      <c r="H1" s="50"/>
      <c r="I1" s="50"/>
      <c r="J1" s="50"/>
      <c r="K1" s="50"/>
      <c r="L1" s="50"/>
      <c r="M1" s="50"/>
      <c r="N1" s="50"/>
    </row>
    <row r="2" spans="1:14" ht="13.9" customHeight="1" x14ac:dyDescent="0.25">
      <c r="A2" s="169" t="s">
        <v>10</v>
      </c>
      <c r="B2" s="169"/>
      <c r="C2" s="169"/>
      <c r="D2" s="169"/>
      <c r="E2" s="13"/>
      <c r="F2" s="50"/>
      <c r="G2" s="50"/>
      <c r="H2" s="50"/>
      <c r="I2" s="50"/>
      <c r="J2" s="50"/>
      <c r="K2" s="50"/>
      <c r="L2" s="50"/>
      <c r="M2" s="50"/>
      <c r="N2" s="50"/>
    </row>
    <row r="3" spans="1:14" x14ac:dyDescent="0.25">
      <c r="A3" s="16"/>
      <c r="B3" s="69"/>
      <c r="C3" s="52"/>
      <c r="D3" s="13"/>
      <c r="E3" s="13"/>
      <c r="F3" s="50"/>
      <c r="G3" s="50"/>
      <c r="H3" s="50"/>
      <c r="I3" s="50"/>
      <c r="J3" s="50"/>
      <c r="K3" s="50"/>
      <c r="L3" s="50"/>
      <c r="M3" s="50"/>
      <c r="N3" s="50"/>
    </row>
    <row r="4" spans="1:14" x14ac:dyDescent="0.25">
      <c r="A4" s="169" t="s">
        <v>224</v>
      </c>
      <c r="B4" s="169"/>
      <c r="C4" s="169"/>
      <c r="D4" s="169"/>
      <c r="E4" s="169"/>
      <c r="F4" s="169"/>
      <c r="G4" s="169"/>
      <c r="H4" s="169"/>
      <c r="I4" s="169"/>
      <c r="J4" s="169"/>
      <c r="K4" s="169"/>
      <c r="L4" s="169"/>
      <c r="M4" s="169"/>
      <c r="N4" s="169"/>
    </row>
    <row r="5" spans="1:14" x14ac:dyDescent="0.25">
      <c r="A5" s="16"/>
      <c r="B5" s="13"/>
      <c r="C5" s="13"/>
      <c r="D5" s="13"/>
      <c r="E5" s="13"/>
      <c r="F5" s="50"/>
      <c r="G5" s="50"/>
      <c r="H5" s="50"/>
      <c r="I5" s="50"/>
      <c r="J5" s="50"/>
      <c r="K5" s="50"/>
      <c r="L5" s="50"/>
      <c r="M5" s="50"/>
      <c r="N5" s="50"/>
    </row>
    <row r="6" spans="1:14" x14ac:dyDescent="0.25">
      <c r="A6" s="180" t="s">
        <v>0</v>
      </c>
      <c r="B6" s="181" t="s">
        <v>40</v>
      </c>
      <c r="C6" s="181"/>
      <c r="D6" s="181"/>
      <c r="E6" s="181"/>
      <c r="F6" s="176" t="s">
        <v>137</v>
      </c>
      <c r="G6" s="176"/>
      <c r="H6" s="176"/>
      <c r="I6" s="176" t="s">
        <v>103</v>
      </c>
      <c r="J6" s="176"/>
      <c r="K6" s="176"/>
      <c r="L6" s="176" t="s">
        <v>138</v>
      </c>
      <c r="M6" s="176"/>
      <c r="N6" s="176"/>
    </row>
    <row r="7" spans="1:14" ht="38.25" x14ac:dyDescent="0.25">
      <c r="A7" s="180"/>
      <c r="B7" s="4" t="s">
        <v>36</v>
      </c>
      <c r="C7" s="4" t="s">
        <v>133</v>
      </c>
      <c r="D7" s="5" t="s">
        <v>154</v>
      </c>
      <c r="E7" s="5" t="s">
        <v>82</v>
      </c>
      <c r="F7" s="116" t="s">
        <v>218</v>
      </c>
      <c r="G7" s="116" t="s">
        <v>105</v>
      </c>
      <c r="H7" s="116" t="s">
        <v>219</v>
      </c>
      <c r="I7" s="116" t="s">
        <v>218</v>
      </c>
      <c r="J7" s="116" t="s">
        <v>105</v>
      </c>
      <c r="K7" s="116" t="s">
        <v>219</v>
      </c>
      <c r="L7" s="116" t="s">
        <v>220</v>
      </c>
      <c r="M7" s="116" t="s">
        <v>221</v>
      </c>
      <c r="N7" s="111" t="s">
        <v>222</v>
      </c>
    </row>
    <row r="8" spans="1:14" x14ac:dyDescent="0.25">
      <c r="A8" s="118"/>
      <c r="B8" s="118"/>
      <c r="C8" s="118"/>
      <c r="D8" s="99"/>
      <c r="E8" s="99"/>
      <c r="F8" s="38">
        <f>SUBTOTAL(9,F9:F19999)</f>
        <v>4100000000</v>
      </c>
      <c r="G8" s="38">
        <f t="shared" ref="G8:N8" si="0">SUBTOTAL(9,G9:G19999)</f>
        <v>310000000</v>
      </c>
      <c r="H8" s="38">
        <f t="shared" si="0"/>
        <v>4410000000</v>
      </c>
      <c r="I8" s="38">
        <f t="shared" si="0"/>
        <v>3900000000</v>
      </c>
      <c r="J8" s="38">
        <f t="shared" si="0"/>
        <v>310000000</v>
      </c>
      <c r="K8" s="38">
        <f t="shared" si="0"/>
        <v>4210000000</v>
      </c>
      <c r="L8" s="38">
        <f t="shared" si="0"/>
        <v>200000000</v>
      </c>
      <c r="M8" s="38">
        <f t="shared" si="0"/>
        <v>0</v>
      </c>
      <c r="N8" s="38">
        <f t="shared" si="0"/>
        <v>200000000</v>
      </c>
    </row>
    <row r="9" spans="1:14" x14ac:dyDescent="0.25">
      <c r="A9" s="88"/>
      <c r="B9" s="86" t="str" cm="1">
        <f t="array" ref="B9:E11">_xlfn.UNIQUE('4.1 TH P.Án B.Thường'!$F$9:$I$19999)</f>
        <v>Nguyễn Đức Anh</v>
      </c>
      <c r="C9" s="86" t="str">
        <v>Tiên Cát</v>
      </c>
      <c r="D9" s="86" t="str">
        <v>Minh Hà</v>
      </c>
      <c r="E9" s="86" t="str">
        <v>123A</v>
      </c>
      <c r="F9" s="105">
        <f>SUMIFS('4.1 TH P.Án B.Thường'!J$9:J$19999,'4.1 TH P.Án B.Thường'!$F$9:$F$19999,'4.3 TH PABT theo Đ.Tượng'!$B9,'4.1 TH P.Án B.Thường'!$G$9:$G$19999,'4.3 TH PABT theo Đ.Tượng'!$C9,'4.1 TH P.Án B.Thường'!$H$9:$H$19999,'4.3 TH PABT theo Đ.Tượng'!$D9,'4.1 TH P.Án B.Thường'!$I$9:$I$19999,'4.3 TH PABT theo Đ.Tượng'!$E9)</f>
        <v>4100000000</v>
      </c>
      <c r="G9" s="105">
        <f>SUMIFS('4.1 TH P.Án B.Thường'!K$9:K$19999,'4.1 TH P.Án B.Thường'!$F$9:$F$19999,'4.3 TH PABT theo Đ.Tượng'!$B9,'4.1 TH P.Án B.Thường'!$G$9:$G$19999,'4.3 TH PABT theo Đ.Tượng'!$C9,'4.1 TH P.Án B.Thường'!$H$9:$H$19999,'4.3 TH PABT theo Đ.Tượng'!$D9,'4.1 TH P.Án B.Thường'!$I$9:$I$19999,'4.3 TH PABT theo Đ.Tượng'!$E9)</f>
        <v>310000000</v>
      </c>
      <c r="H9" s="105">
        <f>SUMIFS('4.1 TH P.Án B.Thường'!L$9:L$19999,'4.1 TH P.Án B.Thường'!$F$9:$F$19999,'4.3 TH PABT theo Đ.Tượng'!$B9,'4.1 TH P.Án B.Thường'!$G$9:$G$19999,'4.3 TH PABT theo Đ.Tượng'!$C9,'4.1 TH P.Án B.Thường'!$H$9:$H$19999,'4.3 TH PABT theo Đ.Tượng'!$D9,'4.1 TH P.Án B.Thường'!$I$9:$I$19999,'4.3 TH PABT theo Đ.Tượng'!$E9)</f>
        <v>4410000000</v>
      </c>
      <c r="I9" s="105">
        <f>SUMIFS('4.1 TH P.Án B.Thường'!M$9:M$19999,'4.1 TH P.Án B.Thường'!$F$9:$F$19999,'4.3 TH PABT theo Đ.Tượng'!$B9,'4.1 TH P.Án B.Thường'!$G$9:$G$19999,'4.3 TH PABT theo Đ.Tượng'!$C9,'4.1 TH P.Án B.Thường'!$H$9:$H$19999,'4.3 TH PABT theo Đ.Tượng'!$D9,'4.1 TH P.Án B.Thường'!$I$9:$I$19999,'4.3 TH PABT theo Đ.Tượng'!$E9)</f>
        <v>3900000000</v>
      </c>
      <c r="J9" s="105">
        <f>SUMIFS('4.1 TH P.Án B.Thường'!N$9:N$19999,'4.1 TH P.Án B.Thường'!$F$9:$F$19999,'4.3 TH PABT theo Đ.Tượng'!$B9,'4.1 TH P.Án B.Thường'!$G$9:$G$19999,'4.3 TH PABT theo Đ.Tượng'!$C9,'4.1 TH P.Án B.Thường'!$H$9:$H$19999,'4.3 TH PABT theo Đ.Tượng'!$D9,'4.1 TH P.Án B.Thường'!$I$9:$I$19999,'4.3 TH PABT theo Đ.Tượng'!$E9)</f>
        <v>310000000</v>
      </c>
      <c r="K9" s="105">
        <f>SUMIFS('4.1 TH P.Án B.Thường'!O$9:O$19999,'4.1 TH P.Án B.Thường'!$F$9:$F$19999,'4.3 TH PABT theo Đ.Tượng'!$B9,'4.1 TH P.Án B.Thường'!$G$9:$G$19999,'4.3 TH PABT theo Đ.Tượng'!$C9,'4.1 TH P.Án B.Thường'!$H$9:$H$19999,'4.3 TH PABT theo Đ.Tượng'!$D9,'4.1 TH P.Án B.Thường'!$I$9:$I$19999,'4.3 TH PABT theo Đ.Tượng'!$E9)</f>
        <v>4210000000</v>
      </c>
      <c r="L9" s="105">
        <f>SUMIFS('4.1 TH P.Án B.Thường'!P$9:P$19999,'4.1 TH P.Án B.Thường'!$F$9:$F$19999,'4.3 TH PABT theo Đ.Tượng'!$B9,'4.1 TH P.Án B.Thường'!$G$9:$G$19999,'4.3 TH PABT theo Đ.Tượng'!$C9,'4.1 TH P.Án B.Thường'!$H$9:$H$19999,'4.3 TH PABT theo Đ.Tượng'!$D9,'4.1 TH P.Án B.Thường'!$I$9:$I$19999,'4.3 TH PABT theo Đ.Tượng'!$E9)</f>
        <v>200000000</v>
      </c>
      <c r="M9" s="105">
        <f>SUMIFS('4.1 TH P.Án B.Thường'!Q$9:Q$19999,'4.1 TH P.Án B.Thường'!$F$9:$F$19999,'4.3 TH PABT theo Đ.Tượng'!$B9,'4.1 TH P.Án B.Thường'!$G$9:$G$19999,'4.3 TH PABT theo Đ.Tượng'!$C9,'4.1 TH P.Án B.Thường'!$H$9:$H$19999,'4.3 TH PABT theo Đ.Tượng'!$D9,'4.1 TH P.Án B.Thường'!$I$9:$I$19999,'4.3 TH PABT theo Đ.Tượng'!$E9)</f>
        <v>0</v>
      </c>
      <c r="N9" s="105">
        <f>SUMIFS('4.1 TH P.Án B.Thường'!R$9:R$19999,'4.1 TH P.Án B.Thường'!$F$9:$F$19999,'4.3 TH PABT theo Đ.Tượng'!$B9,'4.1 TH P.Án B.Thường'!$G$9:$G$19999,'4.3 TH PABT theo Đ.Tượng'!$C9,'4.1 TH P.Án B.Thường'!$H$9:$H$19999,'4.3 TH PABT theo Đ.Tượng'!$D9,'4.1 TH P.Án B.Thường'!$I$9:$I$19999,'4.3 TH PABT theo Đ.Tượng'!$E9)</f>
        <v>200000000</v>
      </c>
    </row>
    <row r="10" spans="1:14" x14ac:dyDescent="0.25">
      <c r="A10" s="88"/>
      <c r="B10" s="86">
        <v>0</v>
      </c>
      <c r="C10" s="86">
        <v>0</v>
      </c>
      <c r="D10" s="86">
        <v>0</v>
      </c>
      <c r="E10" s="86">
        <v>0</v>
      </c>
      <c r="F10" s="105">
        <f>SUMIFS('4.1 TH P.Án B.Thường'!J$9:J$19999,'4.1 TH P.Án B.Thường'!$F$9:$F$19999,'4.3 TH PABT theo Đ.Tượng'!$B10,'4.1 TH P.Án B.Thường'!$G$9:$G$19999,'4.3 TH PABT theo Đ.Tượng'!$C10,'4.1 TH P.Án B.Thường'!$H$9:$H$19999,'4.3 TH PABT theo Đ.Tượng'!$D10,'4.1 TH P.Án B.Thường'!$I$9:$I$19999,'4.3 TH PABT theo Đ.Tượng'!$E10)</f>
        <v>0</v>
      </c>
      <c r="G10" s="105">
        <f>SUMIFS('4.1 TH P.Án B.Thường'!K$9:K$19999,'4.1 TH P.Án B.Thường'!$F$9:$F$19999,'4.3 TH PABT theo Đ.Tượng'!$B10,'4.1 TH P.Án B.Thường'!$G$9:$G$19999,'4.3 TH PABT theo Đ.Tượng'!$C10,'4.1 TH P.Án B.Thường'!$H$9:$H$19999,'4.3 TH PABT theo Đ.Tượng'!$D10,'4.1 TH P.Án B.Thường'!$I$9:$I$19999,'4.3 TH PABT theo Đ.Tượng'!$E10)</f>
        <v>0</v>
      </c>
      <c r="H10" s="105">
        <f>SUMIFS('4.1 TH P.Án B.Thường'!L$9:L$19999,'4.1 TH P.Án B.Thường'!$F$9:$F$19999,'4.3 TH PABT theo Đ.Tượng'!$B10,'4.1 TH P.Án B.Thường'!$G$9:$G$19999,'4.3 TH PABT theo Đ.Tượng'!$C10,'4.1 TH P.Án B.Thường'!$H$9:$H$19999,'4.3 TH PABT theo Đ.Tượng'!$D10,'4.1 TH P.Án B.Thường'!$I$9:$I$19999,'4.3 TH PABT theo Đ.Tượng'!$E10)</f>
        <v>0</v>
      </c>
      <c r="I10" s="105">
        <f>SUMIFS('4.1 TH P.Án B.Thường'!M$9:M$19999,'4.1 TH P.Án B.Thường'!$F$9:$F$19999,'4.3 TH PABT theo Đ.Tượng'!$B10,'4.1 TH P.Án B.Thường'!$G$9:$G$19999,'4.3 TH PABT theo Đ.Tượng'!$C10,'4.1 TH P.Án B.Thường'!$H$9:$H$19999,'4.3 TH PABT theo Đ.Tượng'!$D10,'4.1 TH P.Án B.Thường'!$I$9:$I$19999,'4.3 TH PABT theo Đ.Tượng'!$E10)</f>
        <v>0</v>
      </c>
      <c r="J10" s="105">
        <f>SUMIFS('4.1 TH P.Án B.Thường'!N$9:N$19999,'4.1 TH P.Án B.Thường'!$F$9:$F$19999,'4.3 TH PABT theo Đ.Tượng'!$B10,'4.1 TH P.Án B.Thường'!$G$9:$G$19999,'4.3 TH PABT theo Đ.Tượng'!$C10,'4.1 TH P.Án B.Thường'!$H$9:$H$19999,'4.3 TH PABT theo Đ.Tượng'!$D10,'4.1 TH P.Án B.Thường'!$I$9:$I$19999,'4.3 TH PABT theo Đ.Tượng'!$E10)</f>
        <v>0</v>
      </c>
      <c r="K10" s="105">
        <f>SUMIFS('4.1 TH P.Án B.Thường'!O$9:O$19999,'4.1 TH P.Án B.Thường'!$F$9:$F$19999,'4.3 TH PABT theo Đ.Tượng'!$B10,'4.1 TH P.Án B.Thường'!$G$9:$G$19999,'4.3 TH PABT theo Đ.Tượng'!$C10,'4.1 TH P.Án B.Thường'!$H$9:$H$19999,'4.3 TH PABT theo Đ.Tượng'!$D10,'4.1 TH P.Án B.Thường'!$I$9:$I$19999,'4.3 TH PABT theo Đ.Tượng'!$E10)</f>
        <v>0</v>
      </c>
      <c r="L10" s="105">
        <f>SUMIFS('4.1 TH P.Án B.Thường'!P$9:P$19999,'4.1 TH P.Án B.Thường'!$F$9:$F$19999,'4.3 TH PABT theo Đ.Tượng'!$B10,'4.1 TH P.Án B.Thường'!$G$9:$G$19999,'4.3 TH PABT theo Đ.Tượng'!$C10,'4.1 TH P.Án B.Thường'!$H$9:$H$19999,'4.3 TH PABT theo Đ.Tượng'!$D10,'4.1 TH P.Án B.Thường'!$I$9:$I$19999,'4.3 TH PABT theo Đ.Tượng'!$E10)</f>
        <v>0</v>
      </c>
      <c r="M10" s="105">
        <f>SUMIFS('4.1 TH P.Án B.Thường'!Q$9:Q$19999,'4.1 TH P.Án B.Thường'!$F$9:$F$19999,'4.3 TH PABT theo Đ.Tượng'!$B10,'4.1 TH P.Án B.Thường'!$G$9:$G$19999,'4.3 TH PABT theo Đ.Tượng'!$C10,'4.1 TH P.Án B.Thường'!$H$9:$H$19999,'4.3 TH PABT theo Đ.Tượng'!$D10,'4.1 TH P.Án B.Thường'!$I$9:$I$19999,'4.3 TH PABT theo Đ.Tượng'!$E10)</f>
        <v>0</v>
      </c>
      <c r="N10" s="105">
        <f>SUMIFS('4.1 TH P.Án B.Thường'!R$9:R$19999,'4.1 TH P.Án B.Thường'!$F$9:$F$19999,'4.3 TH PABT theo Đ.Tượng'!$B10,'4.1 TH P.Án B.Thường'!$G$9:$G$19999,'4.3 TH PABT theo Đ.Tượng'!$C10,'4.1 TH P.Án B.Thường'!$H$9:$H$19999,'4.3 TH PABT theo Đ.Tượng'!$D10,'4.1 TH P.Án B.Thường'!$I$9:$I$19999,'4.3 TH PABT theo Đ.Tượng'!$E10)</f>
        <v>0</v>
      </c>
    </row>
    <row r="11" spans="1:14" x14ac:dyDescent="0.25">
      <c r="A11" s="88"/>
      <c r="B11" s="86">
        <v>0</v>
      </c>
      <c r="C11" s="86">
        <v>0</v>
      </c>
      <c r="D11" s="86">
        <v>0</v>
      </c>
      <c r="E11" s="86">
        <v>0</v>
      </c>
      <c r="F11" s="105">
        <f>SUMIFS('4.1 TH P.Án B.Thường'!J$9:J$19999,'4.1 TH P.Án B.Thường'!$F$9:$F$19999,'4.3 TH PABT theo Đ.Tượng'!$B11,'4.1 TH P.Án B.Thường'!$G$9:$G$19999,'4.3 TH PABT theo Đ.Tượng'!$C11,'4.1 TH P.Án B.Thường'!$H$9:$H$19999,'4.3 TH PABT theo Đ.Tượng'!$D11,'4.1 TH P.Án B.Thường'!$I$9:$I$19999,'4.3 TH PABT theo Đ.Tượng'!$E11)</f>
        <v>0</v>
      </c>
      <c r="G11" s="105">
        <f>SUMIFS('4.1 TH P.Án B.Thường'!K$9:K$19999,'4.1 TH P.Án B.Thường'!$F$9:$F$19999,'4.3 TH PABT theo Đ.Tượng'!$B11,'4.1 TH P.Án B.Thường'!$G$9:$G$19999,'4.3 TH PABT theo Đ.Tượng'!$C11,'4.1 TH P.Án B.Thường'!$H$9:$H$19999,'4.3 TH PABT theo Đ.Tượng'!$D11,'4.1 TH P.Án B.Thường'!$I$9:$I$19999,'4.3 TH PABT theo Đ.Tượng'!$E11)</f>
        <v>0</v>
      </c>
      <c r="H11" s="105">
        <f>SUMIFS('4.1 TH P.Án B.Thường'!L$9:L$19999,'4.1 TH P.Án B.Thường'!$F$9:$F$19999,'4.3 TH PABT theo Đ.Tượng'!$B11,'4.1 TH P.Án B.Thường'!$G$9:$G$19999,'4.3 TH PABT theo Đ.Tượng'!$C11,'4.1 TH P.Án B.Thường'!$H$9:$H$19999,'4.3 TH PABT theo Đ.Tượng'!$D11,'4.1 TH P.Án B.Thường'!$I$9:$I$19999,'4.3 TH PABT theo Đ.Tượng'!$E11)</f>
        <v>0</v>
      </c>
      <c r="I11" s="105">
        <f>SUMIFS('4.1 TH P.Án B.Thường'!M$9:M$19999,'4.1 TH P.Án B.Thường'!$F$9:$F$19999,'4.3 TH PABT theo Đ.Tượng'!$B11,'4.1 TH P.Án B.Thường'!$G$9:$G$19999,'4.3 TH PABT theo Đ.Tượng'!$C11,'4.1 TH P.Án B.Thường'!$H$9:$H$19999,'4.3 TH PABT theo Đ.Tượng'!$D11,'4.1 TH P.Án B.Thường'!$I$9:$I$19999,'4.3 TH PABT theo Đ.Tượng'!$E11)</f>
        <v>0</v>
      </c>
      <c r="J11" s="105">
        <f>SUMIFS('4.1 TH P.Án B.Thường'!N$9:N$19999,'4.1 TH P.Án B.Thường'!$F$9:$F$19999,'4.3 TH PABT theo Đ.Tượng'!$B11,'4.1 TH P.Án B.Thường'!$G$9:$G$19999,'4.3 TH PABT theo Đ.Tượng'!$C11,'4.1 TH P.Án B.Thường'!$H$9:$H$19999,'4.3 TH PABT theo Đ.Tượng'!$D11,'4.1 TH P.Án B.Thường'!$I$9:$I$19999,'4.3 TH PABT theo Đ.Tượng'!$E11)</f>
        <v>0</v>
      </c>
      <c r="K11" s="105">
        <f>SUMIFS('4.1 TH P.Án B.Thường'!O$9:O$19999,'4.1 TH P.Án B.Thường'!$F$9:$F$19999,'4.3 TH PABT theo Đ.Tượng'!$B11,'4.1 TH P.Án B.Thường'!$G$9:$G$19999,'4.3 TH PABT theo Đ.Tượng'!$C11,'4.1 TH P.Án B.Thường'!$H$9:$H$19999,'4.3 TH PABT theo Đ.Tượng'!$D11,'4.1 TH P.Án B.Thường'!$I$9:$I$19999,'4.3 TH PABT theo Đ.Tượng'!$E11)</f>
        <v>0</v>
      </c>
      <c r="L11" s="105">
        <f>SUMIFS('4.1 TH P.Án B.Thường'!P$9:P$19999,'4.1 TH P.Án B.Thường'!$F$9:$F$19999,'4.3 TH PABT theo Đ.Tượng'!$B11,'4.1 TH P.Án B.Thường'!$G$9:$G$19999,'4.3 TH PABT theo Đ.Tượng'!$C11,'4.1 TH P.Án B.Thường'!$H$9:$H$19999,'4.3 TH PABT theo Đ.Tượng'!$D11,'4.1 TH P.Án B.Thường'!$I$9:$I$19999,'4.3 TH PABT theo Đ.Tượng'!$E11)</f>
        <v>0</v>
      </c>
      <c r="M11" s="105">
        <f>SUMIFS('4.1 TH P.Án B.Thường'!Q$9:Q$19999,'4.1 TH P.Án B.Thường'!$F$9:$F$19999,'4.3 TH PABT theo Đ.Tượng'!$B11,'4.1 TH P.Án B.Thường'!$G$9:$G$19999,'4.3 TH PABT theo Đ.Tượng'!$C11,'4.1 TH P.Án B.Thường'!$H$9:$H$19999,'4.3 TH PABT theo Đ.Tượng'!$D11,'4.1 TH P.Án B.Thường'!$I$9:$I$19999,'4.3 TH PABT theo Đ.Tượng'!$E11)</f>
        <v>0</v>
      </c>
      <c r="N11" s="105">
        <f>SUMIFS('4.1 TH P.Án B.Thường'!R$9:R$19999,'4.1 TH P.Án B.Thường'!$F$9:$F$19999,'4.3 TH PABT theo Đ.Tượng'!$B11,'4.1 TH P.Án B.Thường'!$G$9:$G$19999,'4.3 TH PABT theo Đ.Tượng'!$C11,'4.1 TH P.Án B.Thường'!$H$9:$H$19999,'4.3 TH PABT theo Đ.Tượng'!$D11,'4.1 TH P.Án B.Thường'!$I$9:$I$19999,'4.3 TH PABT theo Đ.Tượng'!$E11)</f>
        <v>0</v>
      </c>
    </row>
    <row r="12" spans="1:14" x14ac:dyDescent="0.25">
      <c r="A12" s="88"/>
      <c r="B12" s="86"/>
      <c r="C12" s="86"/>
      <c r="D12" s="86"/>
      <c r="E12" s="86"/>
      <c r="F12" s="105">
        <f>SUMIFS('4.1 TH P.Án B.Thường'!J$9:J$19999,'4.1 TH P.Án B.Thường'!$F$9:$F$19999,'4.3 TH PABT theo Đ.Tượng'!$B12,'4.1 TH P.Án B.Thường'!$G$9:$G$19999,'4.3 TH PABT theo Đ.Tượng'!$C12,'4.1 TH P.Án B.Thường'!$H$9:$H$19999,'4.3 TH PABT theo Đ.Tượng'!$D12,'4.1 TH P.Án B.Thường'!$I$9:$I$19999,'4.3 TH PABT theo Đ.Tượng'!$E12)</f>
        <v>0</v>
      </c>
      <c r="G12" s="105">
        <f>SUMIFS('4.1 TH P.Án B.Thường'!K$9:K$19999,'4.1 TH P.Án B.Thường'!$F$9:$F$19999,'4.3 TH PABT theo Đ.Tượng'!$B12,'4.1 TH P.Án B.Thường'!$G$9:$G$19999,'4.3 TH PABT theo Đ.Tượng'!$C12,'4.1 TH P.Án B.Thường'!$H$9:$H$19999,'4.3 TH PABT theo Đ.Tượng'!$D12,'4.1 TH P.Án B.Thường'!$I$9:$I$19999,'4.3 TH PABT theo Đ.Tượng'!$E12)</f>
        <v>0</v>
      </c>
      <c r="H12" s="105">
        <f>SUMIFS('4.1 TH P.Án B.Thường'!L$9:L$19999,'4.1 TH P.Án B.Thường'!$F$9:$F$19999,'4.3 TH PABT theo Đ.Tượng'!$B12,'4.1 TH P.Án B.Thường'!$G$9:$G$19999,'4.3 TH PABT theo Đ.Tượng'!$C12,'4.1 TH P.Án B.Thường'!$H$9:$H$19999,'4.3 TH PABT theo Đ.Tượng'!$D12,'4.1 TH P.Án B.Thường'!$I$9:$I$19999,'4.3 TH PABT theo Đ.Tượng'!$E12)</f>
        <v>0</v>
      </c>
      <c r="I12" s="105">
        <f>SUMIFS('4.1 TH P.Án B.Thường'!M$9:M$19999,'4.1 TH P.Án B.Thường'!$F$9:$F$19999,'4.3 TH PABT theo Đ.Tượng'!$B12,'4.1 TH P.Án B.Thường'!$G$9:$G$19999,'4.3 TH PABT theo Đ.Tượng'!$C12,'4.1 TH P.Án B.Thường'!$H$9:$H$19999,'4.3 TH PABT theo Đ.Tượng'!$D12,'4.1 TH P.Án B.Thường'!$I$9:$I$19999,'4.3 TH PABT theo Đ.Tượng'!$E12)</f>
        <v>0</v>
      </c>
      <c r="J12" s="105">
        <f>SUMIFS('4.1 TH P.Án B.Thường'!N$9:N$19999,'4.1 TH P.Án B.Thường'!$F$9:$F$19999,'4.3 TH PABT theo Đ.Tượng'!$B12,'4.1 TH P.Án B.Thường'!$G$9:$G$19999,'4.3 TH PABT theo Đ.Tượng'!$C12,'4.1 TH P.Án B.Thường'!$H$9:$H$19999,'4.3 TH PABT theo Đ.Tượng'!$D12,'4.1 TH P.Án B.Thường'!$I$9:$I$19999,'4.3 TH PABT theo Đ.Tượng'!$E12)</f>
        <v>0</v>
      </c>
      <c r="K12" s="105">
        <f>SUMIFS('4.1 TH P.Án B.Thường'!O$9:O$19999,'4.1 TH P.Án B.Thường'!$F$9:$F$19999,'4.3 TH PABT theo Đ.Tượng'!$B12,'4.1 TH P.Án B.Thường'!$G$9:$G$19999,'4.3 TH PABT theo Đ.Tượng'!$C12,'4.1 TH P.Án B.Thường'!$H$9:$H$19999,'4.3 TH PABT theo Đ.Tượng'!$D12,'4.1 TH P.Án B.Thường'!$I$9:$I$19999,'4.3 TH PABT theo Đ.Tượng'!$E12)</f>
        <v>0</v>
      </c>
      <c r="L12" s="105">
        <f>SUMIFS('4.1 TH P.Án B.Thường'!P$9:P$19999,'4.1 TH P.Án B.Thường'!$F$9:$F$19999,'4.3 TH PABT theo Đ.Tượng'!$B12,'4.1 TH P.Án B.Thường'!$G$9:$G$19999,'4.3 TH PABT theo Đ.Tượng'!$C12,'4.1 TH P.Án B.Thường'!$H$9:$H$19999,'4.3 TH PABT theo Đ.Tượng'!$D12,'4.1 TH P.Án B.Thường'!$I$9:$I$19999,'4.3 TH PABT theo Đ.Tượng'!$E12)</f>
        <v>0</v>
      </c>
      <c r="M12" s="105">
        <f>SUMIFS('4.1 TH P.Án B.Thường'!Q$9:Q$19999,'4.1 TH P.Án B.Thường'!$F$9:$F$19999,'4.3 TH PABT theo Đ.Tượng'!$B12,'4.1 TH P.Án B.Thường'!$G$9:$G$19999,'4.3 TH PABT theo Đ.Tượng'!$C12,'4.1 TH P.Án B.Thường'!$H$9:$H$19999,'4.3 TH PABT theo Đ.Tượng'!$D12,'4.1 TH P.Án B.Thường'!$I$9:$I$19999,'4.3 TH PABT theo Đ.Tượng'!$E12)</f>
        <v>0</v>
      </c>
      <c r="N12" s="105">
        <f>SUMIFS('4.1 TH P.Án B.Thường'!R$9:R$19999,'4.1 TH P.Án B.Thường'!$F$9:$F$19999,'4.3 TH PABT theo Đ.Tượng'!$B12,'4.1 TH P.Án B.Thường'!$G$9:$G$19999,'4.3 TH PABT theo Đ.Tượng'!$C12,'4.1 TH P.Án B.Thường'!$H$9:$H$19999,'4.3 TH PABT theo Đ.Tượng'!$D12,'4.1 TH P.Án B.Thường'!$I$9:$I$19999,'4.3 TH PABT theo Đ.Tượng'!$E12)</f>
        <v>0</v>
      </c>
    </row>
    <row r="13" spans="1:14" x14ac:dyDescent="0.25">
      <c r="A13" s="88"/>
      <c r="B13" s="86"/>
      <c r="C13" s="86"/>
      <c r="D13" s="86"/>
      <c r="E13" s="86"/>
      <c r="F13" s="105">
        <f>SUMIFS('4.1 TH P.Án B.Thường'!J$9:J$19999,'4.1 TH P.Án B.Thường'!$F$9:$F$19999,'4.3 TH PABT theo Đ.Tượng'!$B13,'4.1 TH P.Án B.Thường'!$G$9:$G$19999,'4.3 TH PABT theo Đ.Tượng'!$C13,'4.1 TH P.Án B.Thường'!$H$9:$H$19999,'4.3 TH PABT theo Đ.Tượng'!$D13,'4.1 TH P.Án B.Thường'!$I$9:$I$19999,'4.3 TH PABT theo Đ.Tượng'!$E13)</f>
        <v>0</v>
      </c>
      <c r="G13" s="105">
        <f>SUMIFS('4.1 TH P.Án B.Thường'!K$9:K$19999,'4.1 TH P.Án B.Thường'!$F$9:$F$19999,'4.3 TH PABT theo Đ.Tượng'!$B13,'4.1 TH P.Án B.Thường'!$G$9:$G$19999,'4.3 TH PABT theo Đ.Tượng'!$C13,'4.1 TH P.Án B.Thường'!$H$9:$H$19999,'4.3 TH PABT theo Đ.Tượng'!$D13,'4.1 TH P.Án B.Thường'!$I$9:$I$19999,'4.3 TH PABT theo Đ.Tượng'!$E13)</f>
        <v>0</v>
      </c>
      <c r="H13" s="105">
        <f>SUMIFS('4.1 TH P.Án B.Thường'!L$9:L$19999,'4.1 TH P.Án B.Thường'!$F$9:$F$19999,'4.3 TH PABT theo Đ.Tượng'!$B13,'4.1 TH P.Án B.Thường'!$G$9:$G$19999,'4.3 TH PABT theo Đ.Tượng'!$C13,'4.1 TH P.Án B.Thường'!$H$9:$H$19999,'4.3 TH PABT theo Đ.Tượng'!$D13,'4.1 TH P.Án B.Thường'!$I$9:$I$19999,'4.3 TH PABT theo Đ.Tượng'!$E13)</f>
        <v>0</v>
      </c>
      <c r="I13" s="105">
        <f>SUMIFS('4.1 TH P.Án B.Thường'!M$9:M$19999,'4.1 TH P.Án B.Thường'!$F$9:$F$19999,'4.3 TH PABT theo Đ.Tượng'!$B13,'4.1 TH P.Án B.Thường'!$G$9:$G$19999,'4.3 TH PABT theo Đ.Tượng'!$C13,'4.1 TH P.Án B.Thường'!$H$9:$H$19999,'4.3 TH PABT theo Đ.Tượng'!$D13,'4.1 TH P.Án B.Thường'!$I$9:$I$19999,'4.3 TH PABT theo Đ.Tượng'!$E13)</f>
        <v>0</v>
      </c>
      <c r="J13" s="105">
        <f>SUMIFS('4.1 TH P.Án B.Thường'!N$9:N$19999,'4.1 TH P.Án B.Thường'!$F$9:$F$19999,'4.3 TH PABT theo Đ.Tượng'!$B13,'4.1 TH P.Án B.Thường'!$G$9:$G$19999,'4.3 TH PABT theo Đ.Tượng'!$C13,'4.1 TH P.Án B.Thường'!$H$9:$H$19999,'4.3 TH PABT theo Đ.Tượng'!$D13,'4.1 TH P.Án B.Thường'!$I$9:$I$19999,'4.3 TH PABT theo Đ.Tượng'!$E13)</f>
        <v>0</v>
      </c>
      <c r="K13" s="105">
        <f>SUMIFS('4.1 TH P.Án B.Thường'!O$9:O$19999,'4.1 TH P.Án B.Thường'!$F$9:$F$19999,'4.3 TH PABT theo Đ.Tượng'!$B13,'4.1 TH P.Án B.Thường'!$G$9:$G$19999,'4.3 TH PABT theo Đ.Tượng'!$C13,'4.1 TH P.Án B.Thường'!$H$9:$H$19999,'4.3 TH PABT theo Đ.Tượng'!$D13,'4.1 TH P.Án B.Thường'!$I$9:$I$19999,'4.3 TH PABT theo Đ.Tượng'!$E13)</f>
        <v>0</v>
      </c>
      <c r="L13" s="105">
        <f>SUMIFS('4.1 TH P.Án B.Thường'!P$9:P$19999,'4.1 TH P.Án B.Thường'!$F$9:$F$19999,'4.3 TH PABT theo Đ.Tượng'!$B13,'4.1 TH P.Án B.Thường'!$G$9:$G$19999,'4.3 TH PABT theo Đ.Tượng'!$C13,'4.1 TH P.Án B.Thường'!$H$9:$H$19999,'4.3 TH PABT theo Đ.Tượng'!$D13,'4.1 TH P.Án B.Thường'!$I$9:$I$19999,'4.3 TH PABT theo Đ.Tượng'!$E13)</f>
        <v>0</v>
      </c>
      <c r="M13" s="105">
        <f>SUMIFS('4.1 TH P.Án B.Thường'!Q$9:Q$19999,'4.1 TH P.Án B.Thường'!$F$9:$F$19999,'4.3 TH PABT theo Đ.Tượng'!$B13,'4.1 TH P.Án B.Thường'!$G$9:$G$19999,'4.3 TH PABT theo Đ.Tượng'!$C13,'4.1 TH P.Án B.Thường'!$H$9:$H$19999,'4.3 TH PABT theo Đ.Tượng'!$D13,'4.1 TH P.Án B.Thường'!$I$9:$I$19999,'4.3 TH PABT theo Đ.Tượng'!$E13)</f>
        <v>0</v>
      </c>
      <c r="N13" s="105">
        <f>SUMIFS('4.1 TH P.Án B.Thường'!R$9:R$19999,'4.1 TH P.Án B.Thường'!$F$9:$F$19999,'4.3 TH PABT theo Đ.Tượng'!$B13,'4.1 TH P.Án B.Thường'!$G$9:$G$19999,'4.3 TH PABT theo Đ.Tượng'!$C13,'4.1 TH P.Án B.Thường'!$H$9:$H$19999,'4.3 TH PABT theo Đ.Tượng'!$D13,'4.1 TH P.Án B.Thường'!$I$9:$I$19999,'4.3 TH PABT theo Đ.Tượng'!$E13)</f>
        <v>0</v>
      </c>
    </row>
    <row r="14" spans="1:14" x14ac:dyDescent="0.25">
      <c r="A14" s="88"/>
      <c r="B14" s="86"/>
      <c r="C14" s="86"/>
      <c r="D14" s="86"/>
      <c r="E14" s="86"/>
      <c r="F14" s="105">
        <f>SUMIFS('4.1 TH P.Án B.Thường'!J$9:J$19999,'4.1 TH P.Án B.Thường'!$F$9:$F$19999,'4.3 TH PABT theo Đ.Tượng'!$B14,'4.1 TH P.Án B.Thường'!$G$9:$G$19999,'4.3 TH PABT theo Đ.Tượng'!$C14,'4.1 TH P.Án B.Thường'!$H$9:$H$19999,'4.3 TH PABT theo Đ.Tượng'!$D14,'4.1 TH P.Án B.Thường'!$I$9:$I$19999,'4.3 TH PABT theo Đ.Tượng'!$E14)</f>
        <v>0</v>
      </c>
      <c r="G14" s="105">
        <f>SUMIFS('4.1 TH P.Án B.Thường'!K$9:K$19999,'4.1 TH P.Án B.Thường'!$F$9:$F$19999,'4.3 TH PABT theo Đ.Tượng'!$B14,'4.1 TH P.Án B.Thường'!$G$9:$G$19999,'4.3 TH PABT theo Đ.Tượng'!$C14,'4.1 TH P.Án B.Thường'!$H$9:$H$19999,'4.3 TH PABT theo Đ.Tượng'!$D14,'4.1 TH P.Án B.Thường'!$I$9:$I$19999,'4.3 TH PABT theo Đ.Tượng'!$E14)</f>
        <v>0</v>
      </c>
      <c r="H14" s="105">
        <f>SUMIFS('4.1 TH P.Án B.Thường'!L$9:L$19999,'4.1 TH P.Án B.Thường'!$F$9:$F$19999,'4.3 TH PABT theo Đ.Tượng'!$B14,'4.1 TH P.Án B.Thường'!$G$9:$G$19999,'4.3 TH PABT theo Đ.Tượng'!$C14,'4.1 TH P.Án B.Thường'!$H$9:$H$19999,'4.3 TH PABT theo Đ.Tượng'!$D14,'4.1 TH P.Án B.Thường'!$I$9:$I$19999,'4.3 TH PABT theo Đ.Tượng'!$E14)</f>
        <v>0</v>
      </c>
      <c r="I14" s="105">
        <f>SUMIFS('4.1 TH P.Án B.Thường'!M$9:M$19999,'4.1 TH P.Án B.Thường'!$F$9:$F$19999,'4.3 TH PABT theo Đ.Tượng'!$B14,'4.1 TH P.Án B.Thường'!$G$9:$G$19999,'4.3 TH PABT theo Đ.Tượng'!$C14,'4.1 TH P.Án B.Thường'!$H$9:$H$19999,'4.3 TH PABT theo Đ.Tượng'!$D14,'4.1 TH P.Án B.Thường'!$I$9:$I$19999,'4.3 TH PABT theo Đ.Tượng'!$E14)</f>
        <v>0</v>
      </c>
      <c r="J14" s="105">
        <f>SUMIFS('4.1 TH P.Án B.Thường'!N$9:N$19999,'4.1 TH P.Án B.Thường'!$F$9:$F$19999,'4.3 TH PABT theo Đ.Tượng'!$B14,'4.1 TH P.Án B.Thường'!$G$9:$G$19999,'4.3 TH PABT theo Đ.Tượng'!$C14,'4.1 TH P.Án B.Thường'!$H$9:$H$19999,'4.3 TH PABT theo Đ.Tượng'!$D14,'4.1 TH P.Án B.Thường'!$I$9:$I$19999,'4.3 TH PABT theo Đ.Tượng'!$E14)</f>
        <v>0</v>
      </c>
      <c r="K14" s="105">
        <f>SUMIFS('4.1 TH P.Án B.Thường'!O$9:O$19999,'4.1 TH P.Án B.Thường'!$F$9:$F$19999,'4.3 TH PABT theo Đ.Tượng'!$B14,'4.1 TH P.Án B.Thường'!$G$9:$G$19999,'4.3 TH PABT theo Đ.Tượng'!$C14,'4.1 TH P.Án B.Thường'!$H$9:$H$19999,'4.3 TH PABT theo Đ.Tượng'!$D14,'4.1 TH P.Án B.Thường'!$I$9:$I$19999,'4.3 TH PABT theo Đ.Tượng'!$E14)</f>
        <v>0</v>
      </c>
      <c r="L14" s="105">
        <f>SUMIFS('4.1 TH P.Án B.Thường'!P$9:P$19999,'4.1 TH P.Án B.Thường'!$F$9:$F$19999,'4.3 TH PABT theo Đ.Tượng'!$B14,'4.1 TH P.Án B.Thường'!$G$9:$G$19999,'4.3 TH PABT theo Đ.Tượng'!$C14,'4.1 TH P.Án B.Thường'!$H$9:$H$19999,'4.3 TH PABT theo Đ.Tượng'!$D14,'4.1 TH P.Án B.Thường'!$I$9:$I$19999,'4.3 TH PABT theo Đ.Tượng'!$E14)</f>
        <v>0</v>
      </c>
      <c r="M14" s="105">
        <f>SUMIFS('4.1 TH P.Án B.Thường'!Q$9:Q$19999,'4.1 TH P.Án B.Thường'!$F$9:$F$19999,'4.3 TH PABT theo Đ.Tượng'!$B14,'4.1 TH P.Án B.Thường'!$G$9:$G$19999,'4.3 TH PABT theo Đ.Tượng'!$C14,'4.1 TH P.Án B.Thường'!$H$9:$H$19999,'4.3 TH PABT theo Đ.Tượng'!$D14,'4.1 TH P.Án B.Thường'!$I$9:$I$19999,'4.3 TH PABT theo Đ.Tượng'!$E14)</f>
        <v>0</v>
      </c>
      <c r="N14" s="105">
        <f>SUMIFS('4.1 TH P.Án B.Thường'!R$9:R$19999,'4.1 TH P.Án B.Thường'!$F$9:$F$19999,'4.3 TH PABT theo Đ.Tượng'!$B14,'4.1 TH P.Án B.Thường'!$G$9:$G$19999,'4.3 TH PABT theo Đ.Tượng'!$C14,'4.1 TH P.Án B.Thường'!$H$9:$H$19999,'4.3 TH PABT theo Đ.Tượng'!$D14,'4.1 TH P.Án B.Thường'!$I$9:$I$19999,'4.3 TH PABT theo Đ.Tượng'!$E14)</f>
        <v>0</v>
      </c>
    </row>
    <row r="15" spans="1:14" x14ac:dyDescent="0.25">
      <c r="A15" s="88"/>
      <c r="B15" s="86"/>
      <c r="C15" s="86"/>
      <c r="D15" s="86"/>
      <c r="E15" s="86"/>
      <c r="F15" s="105">
        <f>SUMIFS('4.1 TH P.Án B.Thường'!J$9:J$19999,'4.1 TH P.Án B.Thường'!$F$9:$F$19999,'4.3 TH PABT theo Đ.Tượng'!$B15,'4.1 TH P.Án B.Thường'!$G$9:$G$19999,'4.3 TH PABT theo Đ.Tượng'!$C15,'4.1 TH P.Án B.Thường'!$H$9:$H$19999,'4.3 TH PABT theo Đ.Tượng'!$D15,'4.1 TH P.Án B.Thường'!$I$9:$I$19999,'4.3 TH PABT theo Đ.Tượng'!$E15)</f>
        <v>0</v>
      </c>
      <c r="G15" s="105">
        <f>SUMIFS('4.1 TH P.Án B.Thường'!K$9:K$19999,'4.1 TH P.Án B.Thường'!$F$9:$F$19999,'4.3 TH PABT theo Đ.Tượng'!$B15,'4.1 TH P.Án B.Thường'!$G$9:$G$19999,'4.3 TH PABT theo Đ.Tượng'!$C15,'4.1 TH P.Án B.Thường'!$H$9:$H$19999,'4.3 TH PABT theo Đ.Tượng'!$D15,'4.1 TH P.Án B.Thường'!$I$9:$I$19999,'4.3 TH PABT theo Đ.Tượng'!$E15)</f>
        <v>0</v>
      </c>
      <c r="H15" s="105">
        <f>SUMIFS('4.1 TH P.Án B.Thường'!L$9:L$19999,'4.1 TH P.Án B.Thường'!$F$9:$F$19999,'4.3 TH PABT theo Đ.Tượng'!$B15,'4.1 TH P.Án B.Thường'!$G$9:$G$19999,'4.3 TH PABT theo Đ.Tượng'!$C15,'4.1 TH P.Án B.Thường'!$H$9:$H$19999,'4.3 TH PABT theo Đ.Tượng'!$D15,'4.1 TH P.Án B.Thường'!$I$9:$I$19999,'4.3 TH PABT theo Đ.Tượng'!$E15)</f>
        <v>0</v>
      </c>
      <c r="I15" s="105">
        <f>SUMIFS('4.1 TH P.Án B.Thường'!M$9:M$19999,'4.1 TH P.Án B.Thường'!$F$9:$F$19999,'4.3 TH PABT theo Đ.Tượng'!$B15,'4.1 TH P.Án B.Thường'!$G$9:$G$19999,'4.3 TH PABT theo Đ.Tượng'!$C15,'4.1 TH P.Án B.Thường'!$H$9:$H$19999,'4.3 TH PABT theo Đ.Tượng'!$D15,'4.1 TH P.Án B.Thường'!$I$9:$I$19999,'4.3 TH PABT theo Đ.Tượng'!$E15)</f>
        <v>0</v>
      </c>
      <c r="J15" s="105">
        <f>SUMIFS('4.1 TH P.Án B.Thường'!N$9:N$19999,'4.1 TH P.Án B.Thường'!$F$9:$F$19999,'4.3 TH PABT theo Đ.Tượng'!$B15,'4.1 TH P.Án B.Thường'!$G$9:$G$19999,'4.3 TH PABT theo Đ.Tượng'!$C15,'4.1 TH P.Án B.Thường'!$H$9:$H$19999,'4.3 TH PABT theo Đ.Tượng'!$D15,'4.1 TH P.Án B.Thường'!$I$9:$I$19999,'4.3 TH PABT theo Đ.Tượng'!$E15)</f>
        <v>0</v>
      </c>
      <c r="K15" s="105">
        <f>SUMIFS('4.1 TH P.Án B.Thường'!O$9:O$19999,'4.1 TH P.Án B.Thường'!$F$9:$F$19999,'4.3 TH PABT theo Đ.Tượng'!$B15,'4.1 TH P.Án B.Thường'!$G$9:$G$19999,'4.3 TH PABT theo Đ.Tượng'!$C15,'4.1 TH P.Án B.Thường'!$H$9:$H$19999,'4.3 TH PABT theo Đ.Tượng'!$D15,'4.1 TH P.Án B.Thường'!$I$9:$I$19999,'4.3 TH PABT theo Đ.Tượng'!$E15)</f>
        <v>0</v>
      </c>
      <c r="L15" s="105">
        <f>SUMIFS('4.1 TH P.Án B.Thường'!P$9:P$19999,'4.1 TH P.Án B.Thường'!$F$9:$F$19999,'4.3 TH PABT theo Đ.Tượng'!$B15,'4.1 TH P.Án B.Thường'!$G$9:$G$19999,'4.3 TH PABT theo Đ.Tượng'!$C15,'4.1 TH P.Án B.Thường'!$H$9:$H$19999,'4.3 TH PABT theo Đ.Tượng'!$D15,'4.1 TH P.Án B.Thường'!$I$9:$I$19999,'4.3 TH PABT theo Đ.Tượng'!$E15)</f>
        <v>0</v>
      </c>
      <c r="M15" s="105">
        <f>SUMIFS('4.1 TH P.Án B.Thường'!Q$9:Q$19999,'4.1 TH P.Án B.Thường'!$F$9:$F$19999,'4.3 TH PABT theo Đ.Tượng'!$B15,'4.1 TH P.Án B.Thường'!$G$9:$G$19999,'4.3 TH PABT theo Đ.Tượng'!$C15,'4.1 TH P.Án B.Thường'!$H$9:$H$19999,'4.3 TH PABT theo Đ.Tượng'!$D15,'4.1 TH P.Án B.Thường'!$I$9:$I$19999,'4.3 TH PABT theo Đ.Tượng'!$E15)</f>
        <v>0</v>
      </c>
      <c r="N15" s="105">
        <f>SUMIFS('4.1 TH P.Án B.Thường'!R$9:R$19999,'4.1 TH P.Án B.Thường'!$F$9:$F$19999,'4.3 TH PABT theo Đ.Tượng'!$B15,'4.1 TH P.Án B.Thường'!$G$9:$G$19999,'4.3 TH PABT theo Đ.Tượng'!$C15,'4.1 TH P.Án B.Thường'!$H$9:$H$19999,'4.3 TH PABT theo Đ.Tượng'!$D15,'4.1 TH P.Án B.Thường'!$I$9:$I$19999,'4.3 TH PABT theo Đ.Tượng'!$E15)</f>
        <v>0</v>
      </c>
    </row>
    <row r="16" spans="1:14" x14ac:dyDescent="0.25">
      <c r="A16" s="88"/>
      <c r="B16" s="86"/>
      <c r="C16" s="86"/>
      <c r="D16" s="86"/>
      <c r="E16" s="86"/>
      <c r="F16" s="105">
        <f>SUMIFS('4.1 TH P.Án B.Thường'!J$9:J$19999,'4.1 TH P.Án B.Thường'!$F$9:$F$19999,'4.3 TH PABT theo Đ.Tượng'!$B16,'4.1 TH P.Án B.Thường'!$G$9:$G$19999,'4.3 TH PABT theo Đ.Tượng'!$C16,'4.1 TH P.Án B.Thường'!$H$9:$H$19999,'4.3 TH PABT theo Đ.Tượng'!$D16,'4.1 TH P.Án B.Thường'!$I$9:$I$19999,'4.3 TH PABT theo Đ.Tượng'!$E16)</f>
        <v>0</v>
      </c>
      <c r="G16" s="105">
        <f>SUMIFS('4.1 TH P.Án B.Thường'!K$9:K$19999,'4.1 TH P.Án B.Thường'!$F$9:$F$19999,'4.3 TH PABT theo Đ.Tượng'!$B16,'4.1 TH P.Án B.Thường'!$G$9:$G$19999,'4.3 TH PABT theo Đ.Tượng'!$C16,'4.1 TH P.Án B.Thường'!$H$9:$H$19999,'4.3 TH PABT theo Đ.Tượng'!$D16,'4.1 TH P.Án B.Thường'!$I$9:$I$19999,'4.3 TH PABT theo Đ.Tượng'!$E16)</f>
        <v>0</v>
      </c>
      <c r="H16" s="105">
        <f>SUMIFS('4.1 TH P.Án B.Thường'!L$9:L$19999,'4.1 TH P.Án B.Thường'!$F$9:$F$19999,'4.3 TH PABT theo Đ.Tượng'!$B16,'4.1 TH P.Án B.Thường'!$G$9:$G$19999,'4.3 TH PABT theo Đ.Tượng'!$C16,'4.1 TH P.Án B.Thường'!$H$9:$H$19999,'4.3 TH PABT theo Đ.Tượng'!$D16,'4.1 TH P.Án B.Thường'!$I$9:$I$19999,'4.3 TH PABT theo Đ.Tượng'!$E16)</f>
        <v>0</v>
      </c>
      <c r="I16" s="105">
        <f>SUMIFS('4.1 TH P.Án B.Thường'!M$9:M$19999,'4.1 TH P.Án B.Thường'!$F$9:$F$19999,'4.3 TH PABT theo Đ.Tượng'!$B16,'4.1 TH P.Án B.Thường'!$G$9:$G$19999,'4.3 TH PABT theo Đ.Tượng'!$C16,'4.1 TH P.Án B.Thường'!$H$9:$H$19999,'4.3 TH PABT theo Đ.Tượng'!$D16,'4.1 TH P.Án B.Thường'!$I$9:$I$19999,'4.3 TH PABT theo Đ.Tượng'!$E16)</f>
        <v>0</v>
      </c>
      <c r="J16" s="105">
        <f>SUMIFS('4.1 TH P.Án B.Thường'!N$9:N$19999,'4.1 TH P.Án B.Thường'!$F$9:$F$19999,'4.3 TH PABT theo Đ.Tượng'!$B16,'4.1 TH P.Án B.Thường'!$G$9:$G$19999,'4.3 TH PABT theo Đ.Tượng'!$C16,'4.1 TH P.Án B.Thường'!$H$9:$H$19999,'4.3 TH PABT theo Đ.Tượng'!$D16,'4.1 TH P.Án B.Thường'!$I$9:$I$19999,'4.3 TH PABT theo Đ.Tượng'!$E16)</f>
        <v>0</v>
      </c>
      <c r="K16" s="105">
        <f>SUMIFS('4.1 TH P.Án B.Thường'!O$9:O$19999,'4.1 TH P.Án B.Thường'!$F$9:$F$19999,'4.3 TH PABT theo Đ.Tượng'!$B16,'4.1 TH P.Án B.Thường'!$G$9:$G$19999,'4.3 TH PABT theo Đ.Tượng'!$C16,'4.1 TH P.Án B.Thường'!$H$9:$H$19999,'4.3 TH PABT theo Đ.Tượng'!$D16,'4.1 TH P.Án B.Thường'!$I$9:$I$19999,'4.3 TH PABT theo Đ.Tượng'!$E16)</f>
        <v>0</v>
      </c>
      <c r="L16" s="105">
        <f>SUMIFS('4.1 TH P.Án B.Thường'!P$9:P$19999,'4.1 TH P.Án B.Thường'!$F$9:$F$19999,'4.3 TH PABT theo Đ.Tượng'!$B16,'4.1 TH P.Án B.Thường'!$G$9:$G$19999,'4.3 TH PABT theo Đ.Tượng'!$C16,'4.1 TH P.Án B.Thường'!$H$9:$H$19999,'4.3 TH PABT theo Đ.Tượng'!$D16,'4.1 TH P.Án B.Thường'!$I$9:$I$19999,'4.3 TH PABT theo Đ.Tượng'!$E16)</f>
        <v>0</v>
      </c>
      <c r="M16" s="105">
        <f>SUMIFS('4.1 TH P.Án B.Thường'!Q$9:Q$19999,'4.1 TH P.Án B.Thường'!$F$9:$F$19999,'4.3 TH PABT theo Đ.Tượng'!$B16,'4.1 TH P.Án B.Thường'!$G$9:$G$19999,'4.3 TH PABT theo Đ.Tượng'!$C16,'4.1 TH P.Án B.Thường'!$H$9:$H$19999,'4.3 TH PABT theo Đ.Tượng'!$D16,'4.1 TH P.Án B.Thường'!$I$9:$I$19999,'4.3 TH PABT theo Đ.Tượng'!$E16)</f>
        <v>0</v>
      </c>
      <c r="N16" s="105">
        <f>SUMIFS('4.1 TH P.Án B.Thường'!R$9:R$19999,'4.1 TH P.Án B.Thường'!$F$9:$F$19999,'4.3 TH PABT theo Đ.Tượng'!$B16,'4.1 TH P.Án B.Thường'!$G$9:$G$19999,'4.3 TH PABT theo Đ.Tượng'!$C16,'4.1 TH P.Án B.Thường'!$H$9:$H$19999,'4.3 TH PABT theo Đ.Tượng'!$D16,'4.1 TH P.Án B.Thường'!$I$9:$I$19999,'4.3 TH PABT theo Đ.Tượng'!$E16)</f>
        <v>0</v>
      </c>
    </row>
    <row r="17" spans="1:14" x14ac:dyDescent="0.25">
      <c r="A17" s="88"/>
      <c r="B17" s="86"/>
      <c r="C17" s="86"/>
      <c r="D17" s="86"/>
      <c r="E17" s="86"/>
      <c r="F17" s="105">
        <f>SUMIFS('4.1 TH P.Án B.Thường'!J$9:J$19999,'4.1 TH P.Án B.Thường'!$F$9:$F$19999,'4.3 TH PABT theo Đ.Tượng'!$B17,'4.1 TH P.Án B.Thường'!$G$9:$G$19999,'4.3 TH PABT theo Đ.Tượng'!$C17,'4.1 TH P.Án B.Thường'!$H$9:$H$19999,'4.3 TH PABT theo Đ.Tượng'!$D17,'4.1 TH P.Án B.Thường'!$I$9:$I$19999,'4.3 TH PABT theo Đ.Tượng'!$E17)</f>
        <v>0</v>
      </c>
      <c r="G17" s="105">
        <f>SUMIFS('4.1 TH P.Án B.Thường'!K$9:K$19999,'4.1 TH P.Án B.Thường'!$F$9:$F$19999,'4.3 TH PABT theo Đ.Tượng'!$B17,'4.1 TH P.Án B.Thường'!$G$9:$G$19999,'4.3 TH PABT theo Đ.Tượng'!$C17,'4.1 TH P.Án B.Thường'!$H$9:$H$19999,'4.3 TH PABT theo Đ.Tượng'!$D17,'4.1 TH P.Án B.Thường'!$I$9:$I$19999,'4.3 TH PABT theo Đ.Tượng'!$E17)</f>
        <v>0</v>
      </c>
      <c r="H17" s="105">
        <f>SUMIFS('4.1 TH P.Án B.Thường'!L$9:L$19999,'4.1 TH P.Án B.Thường'!$F$9:$F$19999,'4.3 TH PABT theo Đ.Tượng'!$B17,'4.1 TH P.Án B.Thường'!$G$9:$G$19999,'4.3 TH PABT theo Đ.Tượng'!$C17,'4.1 TH P.Án B.Thường'!$H$9:$H$19999,'4.3 TH PABT theo Đ.Tượng'!$D17,'4.1 TH P.Án B.Thường'!$I$9:$I$19999,'4.3 TH PABT theo Đ.Tượng'!$E17)</f>
        <v>0</v>
      </c>
      <c r="I17" s="105">
        <f>SUMIFS('4.1 TH P.Án B.Thường'!M$9:M$19999,'4.1 TH P.Án B.Thường'!$F$9:$F$19999,'4.3 TH PABT theo Đ.Tượng'!$B17,'4.1 TH P.Án B.Thường'!$G$9:$G$19999,'4.3 TH PABT theo Đ.Tượng'!$C17,'4.1 TH P.Án B.Thường'!$H$9:$H$19999,'4.3 TH PABT theo Đ.Tượng'!$D17,'4.1 TH P.Án B.Thường'!$I$9:$I$19999,'4.3 TH PABT theo Đ.Tượng'!$E17)</f>
        <v>0</v>
      </c>
      <c r="J17" s="105">
        <f>SUMIFS('4.1 TH P.Án B.Thường'!N$9:N$19999,'4.1 TH P.Án B.Thường'!$F$9:$F$19999,'4.3 TH PABT theo Đ.Tượng'!$B17,'4.1 TH P.Án B.Thường'!$G$9:$G$19999,'4.3 TH PABT theo Đ.Tượng'!$C17,'4.1 TH P.Án B.Thường'!$H$9:$H$19999,'4.3 TH PABT theo Đ.Tượng'!$D17,'4.1 TH P.Án B.Thường'!$I$9:$I$19999,'4.3 TH PABT theo Đ.Tượng'!$E17)</f>
        <v>0</v>
      </c>
      <c r="K17" s="105">
        <f>SUMIFS('4.1 TH P.Án B.Thường'!O$9:O$19999,'4.1 TH P.Án B.Thường'!$F$9:$F$19999,'4.3 TH PABT theo Đ.Tượng'!$B17,'4.1 TH P.Án B.Thường'!$G$9:$G$19999,'4.3 TH PABT theo Đ.Tượng'!$C17,'4.1 TH P.Án B.Thường'!$H$9:$H$19999,'4.3 TH PABT theo Đ.Tượng'!$D17,'4.1 TH P.Án B.Thường'!$I$9:$I$19999,'4.3 TH PABT theo Đ.Tượng'!$E17)</f>
        <v>0</v>
      </c>
      <c r="L17" s="105">
        <f>SUMIFS('4.1 TH P.Án B.Thường'!P$9:P$19999,'4.1 TH P.Án B.Thường'!$F$9:$F$19999,'4.3 TH PABT theo Đ.Tượng'!$B17,'4.1 TH P.Án B.Thường'!$G$9:$G$19999,'4.3 TH PABT theo Đ.Tượng'!$C17,'4.1 TH P.Án B.Thường'!$H$9:$H$19999,'4.3 TH PABT theo Đ.Tượng'!$D17,'4.1 TH P.Án B.Thường'!$I$9:$I$19999,'4.3 TH PABT theo Đ.Tượng'!$E17)</f>
        <v>0</v>
      </c>
      <c r="M17" s="105">
        <f>SUMIFS('4.1 TH P.Án B.Thường'!Q$9:Q$19999,'4.1 TH P.Án B.Thường'!$F$9:$F$19999,'4.3 TH PABT theo Đ.Tượng'!$B17,'4.1 TH P.Án B.Thường'!$G$9:$G$19999,'4.3 TH PABT theo Đ.Tượng'!$C17,'4.1 TH P.Án B.Thường'!$H$9:$H$19999,'4.3 TH PABT theo Đ.Tượng'!$D17,'4.1 TH P.Án B.Thường'!$I$9:$I$19999,'4.3 TH PABT theo Đ.Tượng'!$E17)</f>
        <v>0</v>
      </c>
      <c r="N17" s="105">
        <f>SUMIFS('4.1 TH P.Án B.Thường'!R$9:R$19999,'4.1 TH P.Án B.Thường'!$F$9:$F$19999,'4.3 TH PABT theo Đ.Tượng'!$B17,'4.1 TH P.Án B.Thường'!$G$9:$G$19999,'4.3 TH PABT theo Đ.Tượng'!$C17,'4.1 TH P.Án B.Thường'!$H$9:$H$19999,'4.3 TH PABT theo Đ.Tượng'!$D17,'4.1 TH P.Án B.Thường'!$I$9:$I$19999,'4.3 TH PABT theo Đ.Tượng'!$E17)</f>
        <v>0</v>
      </c>
    </row>
    <row r="18" spans="1:14" x14ac:dyDescent="0.25">
      <c r="A18" s="88"/>
      <c r="B18" s="86"/>
      <c r="C18" s="86"/>
      <c r="D18" s="86"/>
      <c r="E18" s="86"/>
      <c r="F18" s="105">
        <f>SUMIFS('4.1 TH P.Án B.Thường'!J$9:J$19999,'4.1 TH P.Án B.Thường'!$F$9:$F$19999,'4.3 TH PABT theo Đ.Tượng'!$B18,'4.1 TH P.Án B.Thường'!$G$9:$G$19999,'4.3 TH PABT theo Đ.Tượng'!$C18,'4.1 TH P.Án B.Thường'!$H$9:$H$19999,'4.3 TH PABT theo Đ.Tượng'!$D18,'4.1 TH P.Án B.Thường'!$I$9:$I$19999,'4.3 TH PABT theo Đ.Tượng'!$E18)</f>
        <v>0</v>
      </c>
      <c r="G18" s="105">
        <f>SUMIFS('4.1 TH P.Án B.Thường'!K$9:K$19999,'4.1 TH P.Án B.Thường'!$F$9:$F$19999,'4.3 TH PABT theo Đ.Tượng'!$B18,'4.1 TH P.Án B.Thường'!$G$9:$G$19999,'4.3 TH PABT theo Đ.Tượng'!$C18,'4.1 TH P.Án B.Thường'!$H$9:$H$19999,'4.3 TH PABT theo Đ.Tượng'!$D18,'4.1 TH P.Án B.Thường'!$I$9:$I$19999,'4.3 TH PABT theo Đ.Tượng'!$E18)</f>
        <v>0</v>
      </c>
      <c r="H18" s="105">
        <f>SUMIFS('4.1 TH P.Án B.Thường'!L$9:L$19999,'4.1 TH P.Án B.Thường'!$F$9:$F$19999,'4.3 TH PABT theo Đ.Tượng'!$B18,'4.1 TH P.Án B.Thường'!$G$9:$G$19999,'4.3 TH PABT theo Đ.Tượng'!$C18,'4.1 TH P.Án B.Thường'!$H$9:$H$19999,'4.3 TH PABT theo Đ.Tượng'!$D18,'4.1 TH P.Án B.Thường'!$I$9:$I$19999,'4.3 TH PABT theo Đ.Tượng'!$E18)</f>
        <v>0</v>
      </c>
      <c r="I18" s="105">
        <f>SUMIFS('4.1 TH P.Án B.Thường'!M$9:M$19999,'4.1 TH P.Án B.Thường'!$F$9:$F$19999,'4.3 TH PABT theo Đ.Tượng'!$B18,'4.1 TH P.Án B.Thường'!$G$9:$G$19999,'4.3 TH PABT theo Đ.Tượng'!$C18,'4.1 TH P.Án B.Thường'!$H$9:$H$19999,'4.3 TH PABT theo Đ.Tượng'!$D18,'4.1 TH P.Án B.Thường'!$I$9:$I$19999,'4.3 TH PABT theo Đ.Tượng'!$E18)</f>
        <v>0</v>
      </c>
      <c r="J18" s="105">
        <f>SUMIFS('4.1 TH P.Án B.Thường'!N$9:N$19999,'4.1 TH P.Án B.Thường'!$F$9:$F$19999,'4.3 TH PABT theo Đ.Tượng'!$B18,'4.1 TH P.Án B.Thường'!$G$9:$G$19999,'4.3 TH PABT theo Đ.Tượng'!$C18,'4.1 TH P.Án B.Thường'!$H$9:$H$19999,'4.3 TH PABT theo Đ.Tượng'!$D18,'4.1 TH P.Án B.Thường'!$I$9:$I$19999,'4.3 TH PABT theo Đ.Tượng'!$E18)</f>
        <v>0</v>
      </c>
      <c r="K18" s="105">
        <f>SUMIFS('4.1 TH P.Án B.Thường'!O$9:O$19999,'4.1 TH P.Án B.Thường'!$F$9:$F$19999,'4.3 TH PABT theo Đ.Tượng'!$B18,'4.1 TH P.Án B.Thường'!$G$9:$G$19999,'4.3 TH PABT theo Đ.Tượng'!$C18,'4.1 TH P.Án B.Thường'!$H$9:$H$19999,'4.3 TH PABT theo Đ.Tượng'!$D18,'4.1 TH P.Án B.Thường'!$I$9:$I$19999,'4.3 TH PABT theo Đ.Tượng'!$E18)</f>
        <v>0</v>
      </c>
      <c r="L18" s="105">
        <f>SUMIFS('4.1 TH P.Án B.Thường'!P$9:P$19999,'4.1 TH P.Án B.Thường'!$F$9:$F$19999,'4.3 TH PABT theo Đ.Tượng'!$B18,'4.1 TH P.Án B.Thường'!$G$9:$G$19999,'4.3 TH PABT theo Đ.Tượng'!$C18,'4.1 TH P.Án B.Thường'!$H$9:$H$19999,'4.3 TH PABT theo Đ.Tượng'!$D18,'4.1 TH P.Án B.Thường'!$I$9:$I$19999,'4.3 TH PABT theo Đ.Tượng'!$E18)</f>
        <v>0</v>
      </c>
      <c r="M18" s="105">
        <f>SUMIFS('4.1 TH P.Án B.Thường'!Q$9:Q$19999,'4.1 TH P.Án B.Thường'!$F$9:$F$19999,'4.3 TH PABT theo Đ.Tượng'!$B18,'4.1 TH P.Án B.Thường'!$G$9:$G$19999,'4.3 TH PABT theo Đ.Tượng'!$C18,'4.1 TH P.Án B.Thường'!$H$9:$H$19999,'4.3 TH PABT theo Đ.Tượng'!$D18,'4.1 TH P.Án B.Thường'!$I$9:$I$19999,'4.3 TH PABT theo Đ.Tượng'!$E18)</f>
        <v>0</v>
      </c>
      <c r="N18" s="105">
        <f>SUMIFS('4.1 TH P.Án B.Thường'!R$9:R$19999,'4.1 TH P.Án B.Thường'!$F$9:$F$19999,'4.3 TH PABT theo Đ.Tượng'!$B18,'4.1 TH P.Án B.Thường'!$G$9:$G$19999,'4.3 TH PABT theo Đ.Tượng'!$C18,'4.1 TH P.Án B.Thường'!$H$9:$H$19999,'4.3 TH PABT theo Đ.Tượng'!$D18,'4.1 TH P.Án B.Thường'!$I$9:$I$19999,'4.3 TH PABT theo Đ.Tượng'!$E18)</f>
        <v>0</v>
      </c>
    </row>
    <row r="19" spans="1:14" x14ac:dyDescent="0.25">
      <c r="A19" s="88"/>
      <c r="B19" s="86"/>
      <c r="C19" s="86"/>
      <c r="D19" s="86"/>
      <c r="E19" s="86"/>
      <c r="F19" s="105">
        <f>SUMIFS('4.1 TH P.Án B.Thường'!J$9:J$19999,'4.1 TH P.Án B.Thường'!$F$9:$F$19999,'4.3 TH PABT theo Đ.Tượng'!$B19,'4.1 TH P.Án B.Thường'!$G$9:$G$19999,'4.3 TH PABT theo Đ.Tượng'!$C19,'4.1 TH P.Án B.Thường'!$H$9:$H$19999,'4.3 TH PABT theo Đ.Tượng'!$D19,'4.1 TH P.Án B.Thường'!$I$9:$I$19999,'4.3 TH PABT theo Đ.Tượng'!$E19)</f>
        <v>0</v>
      </c>
      <c r="G19" s="105">
        <f>SUMIFS('4.1 TH P.Án B.Thường'!K$9:K$19999,'4.1 TH P.Án B.Thường'!$F$9:$F$19999,'4.3 TH PABT theo Đ.Tượng'!$B19,'4.1 TH P.Án B.Thường'!$G$9:$G$19999,'4.3 TH PABT theo Đ.Tượng'!$C19,'4.1 TH P.Án B.Thường'!$H$9:$H$19999,'4.3 TH PABT theo Đ.Tượng'!$D19,'4.1 TH P.Án B.Thường'!$I$9:$I$19999,'4.3 TH PABT theo Đ.Tượng'!$E19)</f>
        <v>0</v>
      </c>
      <c r="H19" s="105">
        <f>SUMIFS('4.1 TH P.Án B.Thường'!L$9:L$19999,'4.1 TH P.Án B.Thường'!$F$9:$F$19999,'4.3 TH PABT theo Đ.Tượng'!$B19,'4.1 TH P.Án B.Thường'!$G$9:$G$19999,'4.3 TH PABT theo Đ.Tượng'!$C19,'4.1 TH P.Án B.Thường'!$H$9:$H$19999,'4.3 TH PABT theo Đ.Tượng'!$D19,'4.1 TH P.Án B.Thường'!$I$9:$I$19999,'4.3 TH PABT theo Đ.Tượng'!$E19)</f>
        <v>0</v>
      </c>
      <c r="I19" s="105">
        <f>SUMIFS('4.1 TH P.Án B.Thường'!M$9:M$19999,'4.1 TH P.Án B.Thường'!$F$9:$F$19999,'4.3 TH PABT theo Đ.Tượng'!$B19,'4.1 TH P.Án B.Thường'!$G$9:$G$19999,'4.3 TH PABT theo Đ.Tượng'!$C19,'4.1 TH P.Án B.Thường'!$H$9:$H$19999,'4.3 TH PABT theo Đ.Tượng'!$D19,'4.1 TH P.Án B.Thường'!$I$9:$I$19999,'4.3 TH PABT theo Đ.Tượng'!$E19)</f>
        <v>0</v>
      </c>
      <c r="J19" s="105">
        <f>SUMIFS('4.1 TH P.Án B.Thường'!N$9:N$19999,'4.1 TH P.Án B.Thường'!$F$9:$F$19999,'4.3 TH PABT theo Đ.Tượng'!$B19,'4.1 TH P.Án B.Thường'!$G$9:$G$19999,'4.3 TH PABT theo Đ.Tượng'!$C19,'4.1 TH P.Án B.Thường'!$H$9:$H$19999,'4.3 TH PABT theo Đ.Tượng'!$D19,'4.1 TH P.Án B.Thường'!$I$9:$I$19999,'4.3 TH PABT theo Đ.Tượng'!$E19)</f>
        <v>0</v>
      </c>
      <c r="K19" s="105">
        <f>SUMIFS('4.1 TH P.Án B.Thường'!O$9:O$19999,'4.1 TH P.Án B.Thường'!$F$9:$F$19999,'4.3 TH PABT theo Đ.Tượng'!$B19,'4.1 TH P.Án B.Thường'!$G$9:$G$19999,'4.3 TH PABT theo Đ.Tượng'!$C19,'4.1 TH P.Án B.Thường'!$H$9:$H$19999,'4.3 TH PABT theo Đ.Tượng'!$D19,'4.1 TH P.Án B.Thường'!$I$9:$I$19999,'4.3 TH PABT theo Đ.Tượng'!$E19)</f>
        <v>0</v>
      </c>
      <c r="L19" s="105">
        <f>SUMIFS('4.1 TH P.Án B.Thường'!P$9:P$19999,'4.1 TH P.Án B.Thường'!$F$9:$F$19999,'4.3 TH PABT theo Đ.Tượng'!$B19,'4.1 TH P.Án B.Thường'!$G$9:$G$19999,'4.3 TH PABT theo Đ.Tượng'!$C19,'4.1 TH P.Án B.Thường'!$H$9:$H$19999,'4.3 TH PABT theo Đ.Tượng'!$D19,'4.1 TH P.Án B.Thường'!$I$9:$I$19999,'4.3 TH PABT theo Đ.Tượng'!$E19)</f>
        <v>0</v>
      </c>
      <c r="M19" s="105">
        <f>SUMIFS('4.1 TH P.Án B.Thường'!Q$9:Q$19999,'4.1 TH P.Án B.Thường'!$F$9:$F$19999,'4.3 TH PABT theo Đ.Tượng'!$B19,'4.1 TH P.Án B.Thường'!$G$9:$G$19999,'4.3 TH PABT theo Đ.Tượng'!$C19,'4.1 TH P.Án B.Thường'!$H$9:$H$19999,'4.3 TH PABT theo Đ.Tượng'!$D19,'4.1 TH P.Án B.Thường'!$I$9:$I$19999,'4.3 TH PABT theo Đ.Tượng'!$E19)</f>
        <v>0</v>
      </c>
      <c r="N19" s="105">
        <f>SUMIFS('4.1 TH P.Án B.Thường'!R$9:R$19999,'4.1 TH P.Án B.Thường'!$F$9:$F$19999,'4.3 TH PABT theo Đ.Tượng'!$B19,'4.1 TH P.Án B.Thường'!$G$9:$G$19999,'4.3 TH PABT theo Đ.Tượng'!$C19,'4.1 TH P.Án B.Thường'!$H$9:$H$19999,'4.3 TH PABT theo Đ.Tượng'!$D19,'4.1 TH P.Án B.Thường'!$I$9:$I$19999,'4.3 TH PABT theo Đ.Tượng'!$E19)</f>
        <v>0</v>
      </c>
    </row>
    <row r="20" spans="1:14" x14ac:dyDescent="0.25">
      <c r="A20" s="88"/>
      <c r="B20" s="86"/>
      <c r="C20" s="86"/>
      <c r="D20" s="86"/>
      <c r="E20" s="86"/>
      <c r="F20" s="105">
        <f>SUMIFS('4.1 TH P.Án B.Thường'!J$9:J$19999,'4.1 TH P.Án B.Thường'!$F$9:$F$19999,'4.3 TH PABT theo Đ.Tượng'!$B20,'4.1 TH P.Án B.Thường'!$G$9:$G$19999,'4.3 TH PABT theo Đ.Tượng'!$C20,'4.1 TH P.Án B.Thường'!$H$9:$H$19999,'4.3 TH PABT theo Đ.Tượng'!$D20,'4.1 TH P.Án B.Thường'!$I$9:$I$19999,'4.3 TH PABT theo Đ.Tượng'!$E20)</f>
        <v>0</v>
      </c>
      <c r="G20" s="105">
        <f>SUMIFS('4.1 TH P.Án B.Thường'!K$9:K$19999,'4.1 TH P.Án B.Thường'!$F$9:$F$19999,'4.3 TH PABT theo Đ.Tượng'!$B20,'4.1 TH P.Án B.Thường'!$G$9:$G$19999,'4.3 TH PABT theo Đ.Tượng'!$C20,'4.1 TH P.Án B.Thường'!$H$9:$H$19999,'4.3 TH PABT theo Đ.Tượng'!$D20,'4.1 TH P.Án B.Thường'!$I$9:$I$19999,'4.3 TH PABT theo Đ.Tượng'!$E20)</f>
        <v>0</v>
      </c>
      <c r="H20" s="105">
        <f>SUMIFS('4.1 TH P.Án B.Thường'!L$9:L$19999,'4.1 TH P.Án B.Thường'!$F$9:$F$19999,'4.3 TH PABT theo Đ.Tượng'!$B20,'4.1 TH P.Án B.Thường'!$G$9:$G$19999,'4.3 TH PABT theo Đ.Tượng'!$C20,'4.1 TH P.Án B.Thường'!$H$9:$H$19999,'4.3 TH PABT theo Đ.Tượng'!$D20,'4.1 TH P.Án B.Thường'!$I$9:$I$19999,'4.3 TH PABT theo Đ.Tượng'!$E20)</f>
        <v>0</v>
      </c>
      <c r="I20" s="105">
        <f>SUMIFS('4.1 TH P.Án B.Thường'!M$9:M$19999,'4.1 TH P.Án B.Thường'!$F$9:$F$19999,'4.3 TH PABT theo Đ.Tượng'!$B20,'4.1 TH P.Án B.Thường'!$G$9:$G$19999,'4.3 TH PABT theo Đ.Tượng'!$C20,'4.1 TH P.Án B.Thường'!$H$9:$H$19999,'4.3 TH PABT theo Đ.Tượng'!$D20,'4.1 TH P.Án B.Thường'!$I$9:$I$19999,'4.3 TH PABT theo Đ.Tượng'!$E20)</f>
        <v>0</v>
      </c>
      <c r="J20" s="105">
        <f>SUMIFS('4.1 TH P.Án B.Thường'!N$9:N$19999,'4.1 TH P.Án B.Thường'!$F$9:$F$19999,'4.3 TH PABT theo Đ.Tượng'!$B20,'4.1 TH P.Án B.Thường'!$G$9:$G$19999,'4.3 TH PABT theo Đ.Tượng'!$C20,'4.1 TH P.Án B.Thường'!$H$9:$H$19999,'4.3 TH PABT theo Đ.Tượng'!$D20,'4.1 TH P.Án B.Thường'!$I$9:$I$19999,'4.3 TH PABT theo Đ.Tượng'!$E20)</f>
        <v>0</v>
      </c>
      <c r="K20" s="105">
        <f>SUMIFS('4.1 TH P.Án B.Thường'!O$9:O$19999,'4.1 TH P.Án B.Thường'!$F$9:$F$19999,'4.3 TH PABT theo Đ.Tượng'!$B20,'4.1 TH P.Án B.Thường'!$G$9:$G$19999,'4.3 TH PABT theo Đ.Tượng'!$C20,'4.1 TH P.Án B.Thường'!$H$9:$H$19999,'4.3 TH PABT theo Đ.Tượng'!$D20,'4.1 TH P.Án B.Thường'!$I$9:$I$19999,'4.3 TH PABT theo Đ.Tượng'!$E20)</f>
        <v>0</v>
      </c>
      <c r="L20" s="105">
        <f>SUMIFS('4.1 TH P.Án B.Thường'!P$9:P$19999,'4.1 TH P.Án B.Thường'!$F$9:$F$19999,'4.3 TH PABT theo Đ.Tượng'!$B20,'4.1 TH P.Án B.Thường'!$G$9:$G$19999,'4.3 TH PABT theo Đ.Tượng'!$C20,'4.1 TH P.Án B.Thường'!$H$9:$H$19999,'4.3 TH PABT theo Đ.Tượng'!$D20,'4.1 TH P.Án B.Thường'!$I$9:$I$19999,'4.3 TH PABT theo Đ.Tượng'!$E20)</f>
        <v>0</v>
      </c>
      <c r="M20" s="105">
        <f>SUMIFS('4.1 TH P.Án B.Thường'!Q$9:Q$19999,'4.1 TH P.Án B.Thường'!$F$9:$F$19999,'4.3 TH PABT theo Đ.Tượng'!$B20,'4.1 TH P.Án B.Thường'!$G$9:$G$19999,'4.3 TH PABT theo Đ.Tượng'!$C20,'4.1 TH P.Án B.Thường'!$H$9:$H$19999,'4.3 TH PABT theo Đ.Tượng'!$D20,'4.1 TH P.Án B.Thường'!$I$9:$I$19999,'4.3 TH PABT theo Đ.Tượng'!$E20)</f>
        <v>0</v>
      </c>
      <c r="N20" s="105">
        <f>SUMIFS('4.1 TH P.Án B.Thường'!R$9:R$19999,'4.1 TH P.Án B.Thường'!$F$9:$F$19999,'4.3 TH PABT theo Đ.Tượng'!$B20,'4.1 TH P.Án B.Thường'!$G$9:$G$19999,'4.3 TH PABT theo Đ.Tượng'!$C20,'4.1 TH P.Án B.Thường'!$H$9:$H$19999,'4.3 TH PABT theo Đ.Tượng'!$D20,'4.1 TH P.Án B.Thường'!$I$9:$I$19999,'4.3 TH PABT theo Đ.Tượng'!$E20)</f>
        <v>0</v>
      </c>
    </row>
    <row r="21" spans="1:14" x14ac:dyDescent="0.25">
      <c r="A21" s="88"/>
      <c r="B21" s="86"/>
      <c r="C21" s="86"/>
      <c r="D21" s="86"/>
      <c r="E21" s="86"/>
      <c r="F21" s="105">
        <f>SUMIFS('4.1 TH P.Án B.Thường'!J$9:J$19999,'4.1 TH P.Án B.Thường'!$F$9:$F$19999,'4.3 TH PABT theo Đ.Tượng'!$B21,'4.1 TH P.Án B.Thường'!$G$9:$G$19999,'4.3 TH PABT theo Đ.Tượng'!$C21,'4.1 TH P.Án B.Thường'!$H$9:$H$19999,'4.3 TH PABT theo Đ.Tượng'!$D21,'4.1 TH P.Án B.Thường'!$I$9:$I$19999,'4.3 TH PABT theo Đ.Tượng'!$E21)</f>
        <v>0</v>
      </c>
      <c r="G21" s="105">
        <f>SUMIFS('4.1 TH P.Án B.Thường'!K$9:K$19999,'4.1 TH P.Án B.Thường'!$F$9:$F$19999,'4.3 TH PABT theo Đ.Tượng'!$B21,'4.1 TH P.Án B.Thường'!$G$9:$G$19999,'4.3 TH PABT theo Đ.Tượng'!$C21,'4.1 TH P.Án B.Thường'!$H$9:$H$19999,'4.3 TH PABT theo Đ.Tượng'!$D21,'4.1 TH P.Án B.Thường'!$I$9:$I$19999,'4.3 TH PABT theo Đ.Tượng'!$E21)</f>
        <v>0</v>
      </c>
      <c r="H21" s="105">
        <f>SUMIFS('4.1 TH P.Án B.Thường'!L$9:L$19999,'4.1 TH P.Án B.Thường'!$F$9:$F$19999,'4.3 TH PABT theo Đ.Tượng'!$B21,'4.1 TH P.Án B.Thường'!$G$9:$G$19999,'4.3 TH PABT theo Đ.Tượng'!$C21,'4.1 TH P.Án B.Thường'!$H$9:$H$19999,'4.3 TH PABT theo Đ.Tượng'!$D21,'4.1 TH P.Án B.Thường'!$I$9:$I$19999,'4.3 TH PABT theo Đ.Tượng'!$E21)</f>
        <v>0</v>
      </c>
      <c r="I21" s="105">
        <f>SUMIFS('4.1 TH P.Án B.Thường'!M$9:M$19999,'4.1 TH P.Án B.Thường'!$F$9:$F$19999,'4.3 TH PABT theo Đ.Tượng'!$B21,'4.1 TH P.Án B.Thường'!$G$9:$G$19999,'4.3 TH PABT theo Đ.Tượng'!$C21,'4.1 TH P.Án B.Thường'!$H$9:$H$19999,'4.3 TH PABT theo Đ.Tượng'!$D21,'4.1 TH P.Án B.Thường'!$I$9:$I$19999,'4.3 TH PABT theo Đ.Tượng'!$E21)</f>
        <v>0</v>
      </c>
      <c r="J21" s="105">
        <f>SUMIFS('4.1 TH P.Án B.Thường'!N$9:N$19999,'4.1 TH P.Án B.Thường'!$F$9:$F$19999,'4.3 TH PABT theo Đ.Tượng'!$B21,'4.1 TH P.Án B.Thường'!$G$9:$G$19999,'4.3 TH PABT theo Đ.Tượng'!$C21,'4.1 TH P.Án B.Thường'!$H$9:$H$19999,'4.3 TH PABT theo Đ.Tượng'!$D21,'4.1 TH P.Án B.Thường'!$I$9:$I$19999,'4.3 TH PABT theo Đ.Tượng'!$E21)</f>
        <v>0</v>
      </c>
      <c r="K21" s="105">
        <f>SUMIFS('4.1 TH P.Án B.Thường'!O$9:O$19999,'4.1 TH P.Án B.Thường'!$F$9:$F$19999,'4.3 TH PABT theo Đ.Tượng'!$B21,'4.1 TH P.Án B.Thường'!$G$9:$G$19999,'4.3 TH PABT theo Đ.Tượng'!$C21,'4.1 TH P.Án B.Thường'!$H$9:$H$19999,'4.3 TH PABT theo Đ.Tượng'!$D21,'4.1 TH P.Án B.Thường'!$I$9:$I$19999,'4.3 TH PABT theo Đ.Tượng'!$E21)</f>
        <v>0</v>
      </c>
      <c r="L21" s="105">
        <f>SUMIFS('4.1 TH P.Án B.Thường'!P$9:P$19999,'4.1 TH P.Án B.Thường'!$F$9:$F$19999,'4.3 TH PABT theo Đ.Tượng'!$B21,'4.1 TH P.Án B.Thường'!$G$9:$G$19999,'4.3 TH PABT theo Đ.Tượng'!$C21,'4.1 TH P.Án B.Thường'!$H$9:$H$19999,'4.3 TH PABT theo Đ.Tượng'!$D21,'4.1 TH P.Án B.Thường'!$I$9:$I$19999,'4.3 TH PABT theo Đ.Tượng'!$E21)</f>
        <v>0</v>
      </c>
      <c r="M21" s="105">
        <f>SUMIFS('4.1 TH P.Án B.Thường'!Q$9:Q$19999,'4.1 TH P.Án B.Thường'!$F$9:$F$19999,'4.3 TH PABT theo Đ.Tượng'!$B21,'4.1 TH P.Án B.Thường'!$G$9:$G$19999,'4.3 TH PABT theo Đ.Tượng'!$C21,'4.1 TH P.Án B.Thường'!$H$9:$H$19999,'4.3 TH PABT theo Đ.Tượng'!$D21,'4.1 TH P.Án B.Thường'!$I$9:$I$19999,'4.3 TH PABT theo Đ.Tượng'!$E21)</f>
        <v>0</v>
      </c>
      <c r="N21" s="105">
        <f>SUMIFS('4.1 TH P.Án B.Thường'!R$9:R$19999,'4.1 TH P.Án B.Thường'!$F$9:$F$19999,'4.3 TH PABT theo Đ.Tượng'!$B21,'4.1 TH P.Án B.Thường'!$G$9:$G$19999,'4.3 TH PABT theo Đ.Tượng'!$C21,'4.1 TH P.Án B.Thường'!$H$9:$H$19999,'4.3 TH PABT theo Đ.Tượng'!$D21,'4.1 TH P.Án B.Thường'!$I$9:$I$19999,'4.3 TH PABT theo Đ.Tượng'!$E21)</f>
        <v>0</v>
      </c>
    </row>
    <row r="22" spans="1:14" x14ac:dyDescent="0.25">
      <c r="A22" s="88"/>
      <c r="B22" s="86"/>
      <c r="C22" s="86"/>
      <c r="D22" s="86"/>
      <c r="E22" s="86"/>
      <c r="F22" s="105">
        <f>SUMIFS('4.1 TH P.Án B.Thường'!J$9:J$19999,'4.1 TH P.Án B.Thường'!$F$9:$F$19999,'4.3 TH PABT theo Đ.Tượng'!$B22,'4.1 TH P.Án B.Thường'!$G$9:$G$19999,'4.3 TH PABT theo Đ.Tượng'!$C22,'4.1 TH P.Án B.Thường'!$H$9:$H$19999,'4.3 TH PABT theo Đ.Tượng'!$D22,'4.1 TH P.Án B.Thường'!$I$9:$I$19999,'4.3 TH PABT theo Đ.Tượng'!$E22)</f>
        <v>0</v>
      </c>
      <c r="G22" s="105">
        <f>SUMIFS('4.1 TH P.Án B.Thường'!K$9:K$19999,'4.1 TH P.Án B.Thường'!$F$9:$F$19999,'4.3 TH PABT theo Đ.Tượng'!$B22,'4.1 TH P.Án B.Thường'!$G$9:$G$19999,'4.3 TH PABT theo Đ.Tượng'!$C22,'4.1 TH P.Án B.Thường'!$H$9:$H$19999,'4.3 TH PABT theo Đ.Tượng'!$D22,'4.1 TH P.Án B.Thường'!$I$9:$I$19999,'4.3 TH PABT theo Đ.Tượng'!$E22)</f>
        <v>0</v>
      </c>
      <c r="H22" s="105">
        <f>SUMIFS('4.1 TH P.Án B.Thường'!L$9:L$19999,'4.1 TH P.Án B.Thường'!$F$9:$F$19999,'4.3 TH PABT theo Đ.Tượng'!$B22,'4.1 TH P.Án B.Thường'!$G$9:$G$19999,'4.3 TH PABT theo Đ.Tượng'!$C22,'4.1 TH P.Án B.Thường'!$H$9:$H$19999,'4.3 TH PABT theo Đ.Tượng'!$D22,'4.1 TH P.Án B.Thường'!$I$9:$I$19999,'4.3 TH PABT theo Đ.Tượng'!$E22)</f>
        <v>0</v>
      </c>
      <c r="I22" s="105">
        <f>SUMIFS('4.1 TH P.Án B.Thường'!M$9:M$19999,'4.1 TH P.Án B.Thường'!$F$9:$F$19999,'4.3 TH PABT theo Đ.Tượng'!$B22,'4.1 TH P.Án B.Thường'!$G$9:$G$19999,'4.3 TH PABT theo Đ.Tượng'!$C22,'4.1 TH P.Án B.Thường'!$H$9:$H$19999,'4.3 TH PABT theo Đ.Tượng'!$D22,'4.1 TH P.Án B.Thường'!$I$9:$I$19999,'4.3 TH PABT theo Đ.Tượng'!$E22)</f>
        <v>0</v>
      </c>
      <c r="J22" s="105">
        <f>SUMIFS('4.1 TH P.Án B.Thường'!N$9:N$19999,'4.1 TH P.Án B.Thường'!$F$9:$F$19999,'4.3 TH PABT theo Đ.Tượng'!$B22,'4.1 TH P.Án B.Thường'!$G$9:$G$19999,'4.3 TH PABT theo Đ.Tượng'!$C22,'4.1 TH P.Án B.Thường'!$H$9:$H$19999,'4.3 TH PABT theo Đ.Tượng'!$D22,'4.1 TH P.Án B.Thường'!$I$9:$I$19999,'4.3 TH PABT theo Đ.Tượng'!$E22)</f>
        <v>0</v>
      </c>
      <c r="K22" s="105">
        <f>SUMIFS('4.1 TH P.Án B.Thường'!O$9:O$19999,'4.1 TH P.Án B.Thường'!$F$9:$F$19999,'4.3 TH PABT theo Đ.Tượng'!$B22,'4.1 TH P.Án B.Thường'!$G$9:$G$19999,'4.3 TH PABT theo Đ.Tượng'!$C22,'4.1 TH P.Án B.Thường'!$H$9:$H$19999,'4.3 TH PABT theo Đ.Tượng'!$D22,'4.1 TH P.Án B.Thường'!$I$9:$I$19999,'4.3 TH PABT theo Đ.Tượng'!$E22)</f>
        <v>0</v>
      </c>
      <c r="L22" s="105">
        <f>SUMIFS('4.1 TH P.Án B.Thường'!P$9:P$19999,'4.1 TH P.Án B.Thường'!$F$9:$F$19999,'4.3 TH PABT theo Đ.Tượng'!$B22,'4.1 TH P.Án B.Thường'!$G$9:$G$19999,'4.3 TH PABT theo Đ.Tượng'!$C22,'4.1 TH P.Án B.Thường'!$H$9:$H$19999,'4.3 TH PABT theo Đ.Tượng'!$D22,'4.1 TH P.Án B.Thường'!$I$9:$I$19999,'4.3 TH PABT theo Đ.Tượng'!$E22)</f>
        <v>0</v>
      </c>
      <c r="M22" s="105">
        <f>SUMIFS('4.1 TH P.Án B.Thường'!Q$9:Q$19999,'4.1 TH P.Án B.Thường'!$F$9:$F$19999,'4.3 TH PABT theo Đ.Tượng'!$B22,'4.1 TH P.Án B.Thường'!$G$9:$G$19999,'4.3 TH PABT theo Đ.Tượng'!$C22,'4.1 TH P.Án B.Thường'!$H$9:$H$19999,'4.3 TH PABT theo Đ.Tượng'!$D22,'4.1 TH P.Án B.Thường'!$I$9:$I$19999,'4.3 TH PABT theo Đ.Tượng'!$E22)</f>
        <v>0</v>
      </c>
      <c r="N22" s="105">
        <f>SUMIFS('4.1 TH P.Án B.Thường'!R$9:R$19999,'4.1 TH P.Án B.Thường'!$F$9:$F$19999,'4.3 TH PABT theo Đ.Tượng'!$B22,'4.1 TH P.Án B.Thường'!$G$9:$G$19999,'4.3 TH PABT theo Đ.Tượng'!$C22,'4.1 TH P.Án B.Thường'!$H$9:$H$19999,'4.3 TH PABT theo Đ.Tượng'!$D22,'4.1 TH P.Án B.Thường'!$I$9:$I$19999,'4.3 TH PABT theo Đ.Tượng'!$E22)</f>
        <v>0</v>
      </c>
    </row>
  </sheetData>
  <mergeCells count="8">
    <mergeCell ref="A1:D1"/>
    <mergeCell ref="A2:D2"/>
    <mergeCell ref="A4:N4"/>
    <mergeCell ref="A6:A7"/>
    <mergeCell ref="B6:E6"/>
    <mergeCell ref="F6:H6"/>
    <mergeCell ref="I6:K6"/>
    <mergeCell ref="L6:N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52CF-A63B-44F0-A129-7F8267F8A441}">
  <sheetPr>
    <tabColor rgb="FF92D050"/>
  </sheetPr>
  <dimension ref="A1:O19"/>
  <sheetViews>
    <sheetView zoomScale="85" zoomScaleNormal="85" workbookViewId="0">
      <selection activeCell="B9" sqref="B9:O19"/>
    </sheetView>
  </sheetViews>
  <sheetFormatPr defaultColWidth="8.85546875" defaultRowHeight="15" x14ac:dyDescent="0.25"/>
  <cols>
    <col min="1" max="1" width="6.85546875" style="87" customWidth="1"/>
    <col min="2" max="5" width="10.5703125" style="89" customWidth="1"/>
    <col min="6" max="6" width="20.28515625" style="89" customWidth="1"/>
    <col min="7" max="9" width="13.7109375" style="89" customWidth="1"/>
    <col min="10" max="11" width="14.42578125" style="106" customWidth="1"/>
    <col min="12" max="12" width="14.42578125" style="87" customWidth="1"/>
    <col min="13" max="13" width="14.42578125" style="106" customWidth="1"/>
    <col min="14" max="15" width="14.42578125" style="134" customWidth="1"/>
    <col min="16" max="16384" width="8.85546875" style="87"/>
  </cols>
  <sheetData>
    <row r="1" spans="1:15" x14ac:dyDescent="0.25">
      <c r="A1" s="169" t="s">
        <v>9</v>
      </c>
      <c r="B1" s="169"/>
      <c r="C1" s="169"/>
      <c r="D1" s="169"/>
      <c r="E1" s="169"/>
      <c r="F1" s="169"/>
      <c r="G1" s="52"/>
      <c r="H1" s="13"/>
      <c r="I1" s="13"/>
      <c r="J1" s="50"/>
      <c r="K1" s="50"/>
    </row>
    <row r="2" spans="1:15" x14ac:dyDescent="0.25">
      <c r="A2" s="169" t="s">
        <v>10</v>
      </c>
      <c r="B2" s="169"/>
      <c r="C2" s="169"/>
      <c r="D2" s="169"/>
      <c r="E2" s="169"/>
      <c r="F2" s="169"/>
      <c r="G2" s="52"/>
      <c r="H2" s="13"/>
      <c r="I2" s="13"/>
      <c r="J2" s="50"/>
      <c r="K2" s="50"/>
    </row>
    <row r="3" spans="1:15" x14ac:dyDescent="0.25">
      <c r="A3" s="16"/>
      <c r="B3" s="13"/>
      <c r="C3" s="13"/>
      <c r="D3" s="13"/>
      <c r="E3" s="13"/>
      <c r="F3" s="69"/>
      <c r="G3" s="52"/>
      <c r="H3" s="13"/>
      <c r="I3" s="13"/>
      <c r="J3" s="50"/>
      <c r="K3" s="50"/>
    </row>
    <row r="4" spans="1:15" ht="27" customHeight="1" x14ac:dyDescent="0.25">
      <c r="A4" s="169" t="s">
        <v>225</v>
      </c>
      <c r="B4" s="169"/>
      <c r="C4" s="169"/>
      <c r="D4" s="169"/>
      <c r="E4" s="169"/>
      <c r="F4" s="169"/>
      <c r="G4" s="169"/>
      <c r="H4" s="169"/>
      <c r="I4" s="169"/>
      <c r="J4" s="169"/>
      <c r="K4" s="169"/>
      <c r="L4" s="169"/>
      <c r="M4" s="169"/>
      <c r="N4" s="169"/>
      <c r="O4" s="169"/>
    </row>
    <row r="5" spans="1:15" x14ac:dyDescent="0.25">
      <c r="A5" s="16"/>
      <c r="B5" s="13"/>
      <c r="C5" s="13"/>
      <c r="D5" s="13"/>
      <c r="E5" s="13"/>
      <c r="F5" s="13"/>
      <c r="G5" s="13"/>
      <c r="H5" s="13"/>
      <c r="I5" s="13"/>
      <c r="J5" s="50"/>
      <c r="K5" s="50"/>
    </row>
    <row r="6" spans="1:15" ht="14.45" customHeight="1" x14ac:dyDescent="0.25">
      <c r="A6" s="191" t="s">
        <v>0</v>
      </c>
      <c r="B6" s="172" t="s">
        <v>150</v>
      </c>
      <c r="C6" s="173"/>
      <c r="D6" s="173"/>
      <c r="E6" s="186"/>
      <c r="F6" s="174" t="s">
        <v>40</v>
      </c>
      <c r="G6" s="175"/>
      <c r="H6" s="175"/>
      <c r="I6" s="183"/>
      <c r="J6" s="176" t="s">
        <v>186</v>
      </c>
      <c r="K6" s="176"/>
      <c r="L6" s="176" t="s">
        <v>198</v>
      </c>
      <c r="M6" s="176"/>
      <c r="N6" s="190" t="s">
        <v>187</v>
      </c>
      <c r="O6" s="190"/>
    </row>
    <row r="7" spans="1:15" ht="51" x14ac:dyDescent="0.25">
      <c r="A7" s="191"/>
      <c r="B7" s="5" t="s">
        <v>56</v>
      </c>
      <c r="C7" s="5" t="s">
        <v>75</v>
      </c>
      <c r="D7" s="5" t="s">
        <v>63</v>
      </c>
      <c r="E7" s="5" t="s">
        <v>142</v>
      </c>
      <c r="F7" s="4" t="s">
        <v>36</v>
      </c>
      <c r="G7" s="4" t="s">
        <v>133</v>
      </c>
      <c r="H7" s="5" t="s">
        <v>154</v>
      </c>
      <c r="I7" s="5" t="s">
        <v>82</v>
      </c>
      <c r="J7" s="104" t="s">
        <v>213</v>
      </c>
      <c r="K7" s="104" t="s">
        <v>214</v>
      </c>
      <c r="L7" s="104" t="s">
        <v>213</v>
      </c>
      <c r="M7" s="104" t="s">
        <v>214</v>
      </c>
      <c r="N7" s="104" t="s">
        <v>226</v>
      </c>
      <c r="O7" s="104" t="s">
        <v>221</v>
      </c>
    </row>
    <row r="8" spans="1:15" x14ac:dyDescent="0.25">
      <c r="A8" s="99"/>
      <c r="B8" s="99"/>
      <c r="C8" s="99"/>
      <c r="D8" s="99"/>
      <c r="E8" s="99"/>
      <c r="F8" s="118"/>
      <c r="G8" s="118"/>
      <c r="H8" s="99"/>
      <c r="I8" s="99"/>
      <c r="J8" s="38">
        <f>SUBTOTAL(9,J9:J19999)</f>
        <v>400000000</v>
      </c>
      <c r="K8" s="38">
        <f t="shared" ref="K8:O8" si="0">SUBTOTAL(9,K9:K19999)</f>
        <v>130000000</v>
      </c>
      <c r="L8" s="38">
        <f t="shared" si="0"/>
        <v>400000000</v>
      </c>
      <c r="M8" s="38">
        <f t="shared" si="0"/>
        <v>130000000</v>
      </c>
      <c r="N8" s="38">
        <f t="shared" si="0"/>
        <v>0</v>
      </c>
      <c r="O8" s="38">
        <f t="shared" si="0"/>
        <v>0</v>
      </c>
    </row>
    <row r="9" spans="1:15" x14ac:dyDescent="0.25">
      <c r="A9" s="88">
        <v>1</v>
      </c>
      <c r="B9" s="86" t="str" cm="1">
        <f t="array" ref="B9:I12">_xlfn.UNIQUE(_xlfn.VSTACK(_xlfn._xlws.FILTER(_xlfn.HSTACK('4. C.Tiết P.Án B.Thường'!$B$11:$B$19950,'4. C.Tiết P.Án B.Thường'!$D$11:$D$19950,'4. C.Tiết P.Án B.Thường'!$F$11:$F$19950,'4. C.Tiết P.Án B.Thường'!$H$11:$H$19950,'4. C.Tiết P.Án B.Thường'!$J$11:$M$19950),('4. C.Tiết P.Án B.Thường'!$B$11:$B$19950="Tạm ứng")+('4. C.Tiết P.Án B.Thường'!$D$11:$D$19950="Tạm ứng")+('4. C.Tiết P.Án B.Thường'!$F$11:$F$19950="Tạm ứng")+('4. C.Tiết P.Án B.Thường'!$H$11:$H$19950="Tạm ứng"),0),_xlfn._xlws.FILTER(_xlfn.HSTACK('9. Thu, chi PABT'!$B$11:$B$20001,'9. Thu, chi PABT'!$D$11:$D$20001,'9. Thu, chi PABT'!$F$11:$F$20001,'9. Thu, chi PABT'!$H$11:$H$20001,'9. Thu, chi PABT'!$J$11:$M$20001),('9. Thu, chi PABT'!$B$11:$B$20001="Tạm ứng")+('9. Thu, chi PABT'!$D$11:$D$20001="Tạm ứng")+('9. Thu, chi PABT'!$F$11:$F$20001="Tạm ứng")+('9. Thu, chi PABT'!$H$11:$H$20001="Tạm ứng"),0)))</f>
        <v>Tạm ứng</v>
      </c>
      <c r="C9" s="86">
        <v>0</v>
      </c>
      <c r="D9" s="86">
        <v>0</v>
      </c>
      <c r="E9" s="86">
        <v>0</v>
      </c>
      <c r="F9" s="86" t="str">
        <v>Nguyễn Đức Anh</v>
      </c>
      <c r="G9" s="86" t="str">
        <v>Tiên Cát</v>
      </c>
      <c r="H9" s="86" t="str">
        <v>Minh Hà</v>
      </c>
      <c r="I9" s="86" t="str">
        <v>123A</v>
      </c>
      <c r="J9" s="126">
        <f>SUMIFS('4. C.Tiết P.Án B.Thường'!N$11:N$19950,'4. C.Tiết P.Án B.Thường'!$J$11:$J$19950,'4.4 DS Đ.Tượng T.Ứng'!$F9,'4. C.Tiết P.Án B.Thường'!$K$11:$K$19950,'4.4 DS Đ.Tượng T.Ứng'!$G9,'4. C.Tiết P.Án B.Thường'!$L$11:$L$19950,'4.4 DS Đ.Tượng T.Ứng'!$H9,'4. C.Tiết P.Án B.Thường'!$M$11:$M$19950,'4.4 DS Đ.Tượng T.Ứng'!$I9,'4. C.Tiết P.Án B.Thường'!$B$11:$B$19950,'4.4 DS Đ.Tượng T.Ứng'!$B9,'4. C.Tiết P.Án B.Thường'!$D$11:$D$19950,IF('4.4 DS Đ.Tượng T.Ứng'!$C9=0,"",$C9),'4. C.Tiết P.Án B.Thường'!$F$11:$F$19950,IF('4.4 DS Đ.Tượng T.Ứng'!$D9=0,"",$D9),'4. C.Tiết P.Án B.Thường'!$H$11:$H$19950,IF('4.4 DS Đ.Tượng T.Ứng'!$E9=0,"",$E9))</f>
        <v>100000000</v>
      </c>
      <c r="K9" s="126">
        <f>SUMIFS('4. C.Tiết P.Án B.Thường'!O$11:O$19950,'4. C.Tiết P.Án B.Thường'!$J$11:$J$19950,'4.4 DS Đ.Tượng T.Ứng'!$F9,'4. C.Tiết P.Án B.Thường'!$K$11:$K$19950,'4.4 DS Đ.Tượng T.Ứng'!$G9,'4. C.Tiết P.Án B.Thường'!$L$11:$L$19950,'4.4 DS Đ.Tượng T.Ứng'!$H9,'4. C.Tiết P.Án B.Thường'!$M$11:$M$19950,'4.4 DS Đ.Tượng T.Ứng'!$I9,'4. C.Tiết P.Án B.Thường'!$B$11:$B$19950,'4.4 DS Đ.Tượng T.Ứng'!$B9,'4. C.Tiết P.Án B.Thường'!$D$11:$D$19950,IF('4.4 DS Đ.Tượng T.Ứng'!$C9=0,"",$C9),'4. C.Tiết P.Án B.Thường'!$F$11:$F$19950,IF('4.4 DS Đ.Tượng T.Ứng'!$D9=0,"",$D9),'4. C.Tiết P.Án B.Thường'!$H$11:$H$19950,IF('4.4 DS Đ.Tượng T.Ứng'!$E9=0,"",$E9))</f>
        <v>0</v>
      </c>
      <c r="L9" s="105">
        <f>SUMIFS('9. Thu, chi PABT'!$T$11:$T$20001,'9. Thu, chi PABT'!$J$11:$J$20001,'4.4 DS Đ.Tượng T.Ứng'!$F9,'9. Thu, chi PABT'!$K$11:$K$20001,'4.4 DS Đ.Tượng T.Ứng'!$G9,'9. Thu, chi PABT'!$L$11:$L$20001,'4.4 DS Đ.Tượng T.Ứng'!$H9,'9. Thu, chi PABT'!$M$11:$M$20001,'4.4 DS Đ.Tượng T.Ứng'!$I9,'9. Thu, chi PABT'!$B$11:$B$20001,'4.4 DS Đ.Tượng T.Ứng'!$B9,'9. Thu, chi PABT'!$B$11:$B$20001,"Tạm ứng",'9. Thu, chi PABT'!$D$11:$D$20001,IF('4.4 DS Đ.Tượng T.Ứng'!$C9=0,"",'4.4 DS Đ.Tượng T.Ứng'!$C9),'9. Thu, chi PABT'!$F$11:$F$20001,IF('4.4 DS Đ.Tượng T.Ứng'!$D9=0,"",'4.4 DS Đ.Tượng T.Ứng'!$D9),'9. Thu, chi PABT'!$H$11:$H$20001,IF('4.4 DS Đ.Tượng T.Ứng'!$E9=0,"",'4.4 DS Đ.Tượng T.Ứng'!$E9))+SUMIFS('9. Thu, chi PABT'!$T$11:$T$20001,'9. Thu, chi PABT'!$J$11:$J$20001,'4.4 DS Đ.Tượng T.Ứng'!$F9,'9. Thu, chi PABT'!$K$11:$K$20001,'4.4 DS Đ.Tượng T.Ứng'!$G9,'9. Thu, chi PABT'!$L$11:$L$20001,'4.4 DS Đ.Tượng T.Ứng'!$H9,'9. Thu, chi PABT'!$M$11:$M$20001,'4.4 DS Đ.Tượng T.Ứng'!$I9,'9. Thu, chi PABT'!$B$11:$B$20001,'4.4 DS Đ.Tượng T.Ứng'!$B9,'9. Thu, chi PABT'!$D$11:$D$20001,"Tạm ứng",'9. Thu, chi PABT'!$D$11:$D$20001,IF('4.4 DS Đ.Tượng T.Ứng'!$C9=0,"",'4.4 DS Đ.Tượng T.Ứng'!$C9),'9. Thu, chi PABT'!$F$11:$F$20001,IF('4.4 DS Đ.Tượng T.Ứng'!$D9=0,"",'4.4 DS Đ.Tượng T.Ứng'!$D9),'9. Thu, chi PABT'!$H$11:$H$20001,IF('4.4 DS Đ.Tượng T.Ứng'!$E9=0,"",'4.4 DS Đ.Tượng T.Ứng'!$E9))</f>
        <v>100000000</v>
      </c>
      <c r="M9" s="105">
        <f>SUMIFS('9. Thu, chi PABT'!$T$11:$T$20001,'9. Thu, chi PABT'!$J$11:$J$20001,'4.4 DS Đ.Tượng T.Ứng'!$F9,'9. Thu, chi PABT'!$K$11:$K$20001,'4.4 DS Đ.Tượng T.Ứng'!$G9,'9. Thu, chi PABT'!$L$11:$L$20001,'4.4 DS Đ.Tượng T.Ứng'!$H9,'9. Thu, chi PABT'!$M$11:$M$20001,'4.4 DS Đ.Tượng T.Ứng'!$I9,'9. Thu, chi PABT'!$B$11:$B$20001,'4.4 DS Đ.Tượng T.Ứng'!$B9,'9. Thu, chi PABT'!$D$11:$D$20001,IF('4.4 DS Đ.Tượng T.Ứng'!$C9=0,"",'4.4 DS Đ.Tượng T.Ứng'!$C9),'9. Thu, chi PABT'!$F$11:$F$20001,"Tạm ứng",'9. Thu, chi PABT'!$F$11:$F$20001,IF('4.4 DS Đ.Tượng T.Ứng'!$D9=0,"",'4.4 DS Đ.Tượng T.Ứng'!$D9),'9. Thu, chi PABT'!$H$11:$H$20001,IF('4.4 DS Đ.Tượng T.Ứng'!$E9=0,"",'4.4 DS Đ.Tượng T.Ứng'!$E9))+SUMIFS('9. Thu, chi PABT'!$T$11:$T$20001,'9. Thu, chi PABT'!$J$11:$J$20001,'4.4 DS Đ.Tượng T.Ứng'!$F9,'9. Thu, chi PABT'!$K$11:$K$20001,'4.4 DS Đ.Tượng T.Ứng'!$G9,'9. Thu, chi PABT'!$L$11:$L$20001,'4.4 DS Đ.Tượng T.Ứng'!$H9,'9. Thu, chi PABT'!$M$11:$M$20001,'4.4 DS Đ.Tượng T.Ứng'!$I9,'9. Thu, chi PABT'!$B$11:$B$20001,'4.4 DS Đ.Tượng T.Ứng'!$B9,'9. Thu, chi PABT'!$D$11:$D$20001,IF('4.4 DS Đ.Tượng T.Ứng'!$C9=0,"",'4.4 DS Đ.Tượng T.Ứng'!$C9),'9. Thu, chi PABT'!$F$11:$F$20001,IF('4.4 DS Đ.Tượng T.Ứng'!$D9=0,"",'4.4 DS Đ.Tượng T.Ứng'!$D9),'9. Thu, chi PABT'!$H$11:$H$20001,"Tạm ứng",'9. Thu, chi PABT'!$H$11:$H$20001,IF('4.4 DS Đ.Tượng T.Ứng'!$E9=0,"",'4.4 DS Đ.Tượng T.Ứng'!$E9))</f>
        <v>0</v>
      </c>
      <c r="N9" s="135">
        <f t="shared" ref="N9:N19" si="1">J9-L9</f>
        <v>0</v>
      </c>
      <c r="O9" s="135">
        <f t="shared" ref="O9:O19" si="2">K9-M9</f>
        <v>0</v>
      </c>
    </row>
    <row r="10" spans="1:15" x14ac:dyDescent="0.25">
      <c r="A10" s="88">
        <v>2</v>
      </c>
      <c r="B10" s="86">
        <v>110</v>
      </c>
      <c r="C10" s="86" t="str">
        <v>Tạm ứng</v>
      </c>
      <c r="D10" s="86">
        <v>0</v>
      </c>
      <c r="E10" s="86">
        <v>0</v>
      </c>
      <c r="F10" s="86" t="str">
        <v>Nguyễn Đức Anh</v>
      </c>
      <c r="G10" s="86" t="str">
        <v>Tiên Cát</v>
      </c>
      <c r="H10" s="86" t="str">
        <v>Minh Hà</v>
      </c>
      <c r="I10" s="86" t="str">
        <v>123A</v>
      </c>
      <c r="J10" s="126">
        <f>SUMIFS('4. C.Tiết P.Án B.Thường'!N$11:N$19950,'4. C.Tiết P.Án B.Thường'!$J$11:$J$19950,'4.4 DS Đ.Tượng T.Ứng'!$F10,'4. C.Tiết P.Án B.Thường'!$K$11:$K$19950,'4.4 DS Đ.Tượng T.Ứng'!$G10,'4. C.Tiết P.Án B.Thường'!$L$11:$L$19950,'4.4 DS Đ.Tượng T.Ứng'!$H10,'4. C.Tiết P.Án B.Thường'!$M$11:$M$19950,'4.4 DS Đ.Tượng T.Ứng'!$I10,'4. C.Tiết P.Án B.Thường'!$B$11:$B$19950,'4.4 DS Đ.Tượng T.Ứng'!$B10,'4. C.Tiết P.Án B.Thường'!$D$11:$D$19950,IF('4.4 DS Đ.Tượng T.Ứng'!$C10=0,"",$C10),'4. C.Tiết P.Án B.Thường'!$F$11:$F$19950,IF('4.4 DS Đ.Tượng T.Ứng'!$D10=0,"",$D10),'4. C.Tiết P.Án B.Thường'!$H$11:$H$19950,IF('4.4 DS Đ.Tượng T.Ứng'!$E10=0,"",$E10))</f>
        <v>300000000</v>
      </c>
      <c r="K10" s="126">
        <f>SUMIFS('4. C.Tiết P.Án B.Thường'!O$11:O$19950,'4. C.Tiết P.Án B.Thường'!$J$11:$J$19950,'4.4 DS Đ.Tượng T.Ứng'!$F10,'4. C.Tiết P.Án B.Thường'!$K$11:$K$19950,'4.4 DS Đ.Tượng T.Ứng'!$G10,'4. C.Tiết P.Án B.Thường'!$L$11:$L$19950,'4.4 DS Đ.Tượng T.Ứng'!$H10,'4. C.Tiết P.Án B.Thường'!$M$11:$M$19950,'4.4 DS Đ.Tượng T.Ứng'!$I10,'4. C.Tiết P.Án B.Thường'!$B$11:$B$19950,'4.4 DS Đ.Tượng T.Ứng'!$B10,'4. C.Tiết P.Án B.Thường'!$D$11:$D$19950,IF('4.4 DS Đ.Tượng T.Ứng'!$C10=0,"",$C10),'4. C.Tiết P.Án B.Thường'!$F$11:$F$19950,IF('4.4 DS Đ.Tượng T.Ứng'!$D10=0,"",$D10),'4. C.Tiết P.Án B.Thường'!$H$11:$H$19950,IF('4.4 DS Đ.Tượng T.Ứng'!$E10=0,"",$E10))</f>
        <v>0</v>
      </c>
      <c r="L10" s="105">
        <f>SUMIFS('9. Thu, chi PABT'!$T$11:$T$20001,'9. Thu, chi PABT'!$J$11:$J$20001,'4.4 DS Đ.Tượng T.Ứng'!$F10,'9. Thu, chi PABT'!$K$11:$K$20001,'4.4 DS Đ.Tượng T.Ứng'!$G10,'9. Thu, chi PABT'!$L$11:$L$20001,'4.4 DS Đ.Tượng T.Ứng'!$H10,'9. Thu, chi PABT'!$M$11:$M$20001,'4.4 DS Đ.Tượng T.Ứng'!$I10,'9. Thu, chi PABT'!$B$11:$B$20001,'4.4 DS Đ.Tượng T.Ứng'!$B10,'9. Thu, chi PABT'!$B$11:$B$20001,"Tạm ứng",'9. Thu, chi PABT'!$D$11:$D$20001,IF('4.4 DS Đ.Tượng T.Ứng'!$C10=0,"",'4.4 DS Đ.Tượng T.Ứng'!$C10),'9. Thu, chi PABT'!$F$11:$F$20001,IF('4.4 DS Đ.Tượng T.Ứng'!$D10=0,"",'4.4 DS Đ.Tượng T.Ứng'!$D10),'9. Thu, chi PABT'!$H$11:$H$20001,IF('4.4 DS Đ.Tượng T.Ứng'!$E10=0,"",'4.4 DS Đ.Tượng T.Ứng'!$E10))+SUMIFS('9. Thu, chi PABT'!$T$11:$T$20001,'9. Thu, chi PABT'!$J$11:$J$20001,'4.4 DS Đ.Tượng T.Ứng'!$F10,'9. Thu, chi PABT'!$K$11:$K$20001,'4.4 DS Đ.Tượng T.Ứng'!$G10,'9. Thu, chi PABT'!$L$11:$L$20001,'4.4 DS Đ.Tượng T.Ứng'!$H10,'9. Thu, chi PABT'!$M$11:$M$20001,'4.4 DS Đ.Tượng T.Ứng'!$I10,'9. Thu, chi PABT'!$B$11:$B$20001,'4.4 DS Đ.Tượng T.Ứng'!$B10,'9. Thu, chi PABT'!$D$11:$D$20001,"Tạm ứng",'9. Thu, chi PABT'!$D$11:$D$20001,IF('4.4 DS Đ.Tượng T.Ứng'!$C10=0,"",'4.4 DS Đ.Tượng T.Ứng'!$C10),'9. Thu, chi PABT'!$F$11:$F$20001,IF('4.4 DS Đ.Tượng T.Ứng'!$D10=0,"",'4.4 DS Đ.Tượng T.Ứng'!$D10),'9. Thu, chi PABT'!$H$11:$H$20001,IF('4.4 DS Đ.Tượng T.Ứng'!$E10=0,"",'4.4 DS Đ.Tượng T.Ứng'!$E10))</f>
        <v>300000000</v>
      </c>
      <c r="M10" s="105">
        <f>SUMIFS('9. Thu, chi PABT'!$T$11:$T$20001,'9. Thu, chi PABT'!$J$11:$J$20001,'4.4 DS Đ.Tượng T.Ứng'!$F10,'9. Thu, chi PABT'!$K$11:$K$20001,'4.4 DS Đ.Tượng T.Ứng'!$G10,'9. Thu, chi PABT'!$L$11:$L$20001,'4.4 DS Đ.Tượng T.Ứng'!$H10,'9. Thu, chi PABT'!$M$11:$M$20001,'4.4 DS Đ.Tượng T.Ứng'!$I10,'9. Thu, chi PABT'!$B$11:$B$20001,'4.4 DS Đ.Tượng T.Ứng'!$B10,'9. Thu, chi PABT'!$D$11:$D$20001,IF('4.4 DS Đ.Tượng T.Ứng'!$C10=0,"",'4.4 DS Đ.Tượng T.Ứng'!$C10),'9. Thu, chi PABT'!$F$11:$F$20001,"Tạm ứng",'9. Thu, chi PABT'!$F$11:$F$20001,IF('4.4 DS Đ.Tượng T.Ứng'!$D10=0,"",'4.4 DS Đ.Tượng T.Ứng'!$D10),'9. Thu, chi PABT'!$H$11:$H$20001,IF('4.4 DS Đ.Tượng T.Ứng'!$E10=0,"",'4.4 DS Đ.Tượng T.Ứng'!$E10))+SUMIFS('9. Thu, chi PABT'!$T$11:$T$20001,'9. Thu, chi PABT'!$J$11:$J$20001,'4.4 DS Đ.Tượng T.Ứng'!$F10,'9. Thu, chi PABT'!$K$11:$K$20001,'4.4 DS Đ.Tượng T.Ứng'!$G10,'9. Thu, chi PABT'!$L$11:$L$20001,'4.4 DS Đ.Tượng T.Ứng'!$H10,'9. Thu, chi PABT'!$M$11:$M$20001,'4.4 DS Đ.Tượng T.Ứng'!$I10,'9. Thu, chi PABT'!$B$11:$B$20001,'4.4 DS Đ.Tượng T.Ứng'!$B10,'9. Thu, chi PABT'!$D$11:$D$20001,IF('4.4 DS Đ.Tượng T.Ứng'!$C10=0,"",'4.4 DS Đ.Tượng T.Ứng'!$C10),'9. Thu, chi PABT'!$F$11:$F$20001,IF('4.4 DS Đ.Tượng T.Ứng'!$D10=0,"",'4.4 DS Đ.Tượng T.Ứng'!$D10),'9. Thu, chi PABT'!$H$11:$H$20001,"Tạm ứng",'9. Thu, chi PABT'!$H$11:$H$20001,IF('4.4 DS Đ.Tượng T.Ứng'!$E10=0,"",'4.4 DS Đ.Tượng T.Ứng'!$E10))</f>
        <v>0</v>
      </c>
      <c r="N10" s="135">
        <f t="shared" si="1"/>
        <v>0</v>
      </c>
      <c r="O10" s="135">
        <f t="shared" si="2"/>
        <v>0</v>
      </c>
    </row>
    <row r="11" spans="1:15" x14ac:dyDescent="0.25">
      <c r="A11" s="88">
        <v>3</v>
      </c>
      <c r="B11" s="86">
        <v>110</v>
      </c>
      <c r="C11" s="86">
        <v>0</v>
      </c>
      <c r="D11" s="86" t="str">
        <v>Tạm ứng</v>
      </c>
      <c r="E11" s="86">
        <v>0</v>
      </c>
      <c r="F11" s="86" t="str">
        <v>Nguyễn Đức Anh</v>
      </c>
      <c r="G11" s="86" t="str">
        <v>Tiên Cát</v>
      </c>
      <c r="H11" s="86" t="str">
        <v>Minh Hà</v>
      </c>
      <c r="I11" s="86" t="str">
        <v>123A</v>
      </c>
      <c r="J11" s="126">
        <f>SUMIFS('4. C.Tiết P.Án B.Thường'!N$11:N$19950,'4. C.Tiết P.Án B.Thường'!$J$11:$J$19950,'4.4 DS Đ.Tượng T.Ứng'!$F11,'4. C.Tiết P.Án B.Thường'!$K$11:$K$19950,'4.4 DS Đ.Tượng T.Ứng'!$G11,'4. C.Tiết P.Án B.Thường'!$L$11:$L$19950,'4.4 DS Đ.Tượng T.Ứng'!$H11,'4. C.Tiết P.Án B.Thường'!$M$11:$M$19950,'4.4 DS Đ.Tượng T.Ứng'!$I11,'4. C.Tiết P.Án B.Thường'!$B$11:$B$19950,'4.4 DS Đ.Tượng T.Ứng'!$B11,'4. C.Tiết P.Án B.Thường'!$D$11:$D$19950,IF('4.4 DS Đ.Tượng T.Ứng'!$C11=0,"",$C11),'4. C.Tiết P.Án B.Thường'!$F$11:$F$19950,IF('4.4 DS Đ.Tượng T.Ứng'!$D11=0,"",$D11),'4. C.Tiết P.Án B.Thường'!$H$11:$H$19950,IF('4.4 DS Đ.Tượng T.Ứng'!$E11=0,"",$E11))</f>
        <v>0</v>
      </c>
      <c r="K11" s="126">
        <f>SUMIFS('4. C.Tiết P.Án B.Thường'!O$11:O$19950,'4. C.Tiết P.Án B.Thường'!$J$11:$J$19950,'4.4 DS Đ.Tượng T.Ứng'!$F11,'4. C.Tiết P.Án B.Thường'!$K$11:$K$19950,'4.4 DS Đ.Tượng T.Ứng'!$G11,'4. C.Tiết P.Án B.Thường'!$L$11:$L$19950,'4.4 DS Đ.Tượng T.Ứng'!$H11,'4. C.Tiết P.Án B.Thường'!$M$11:$M$19950,'4.4 DS Đ.Tượng T.Ứng'!$I11,'4. C.Tiết P.Án B.Thường'!$B$11:$B$19950,'4.4 DS Đ.Tượng T.Ứng'!$B11,'4. C.Tiết P.Án B.Thường'!$D$11:$D$19950,IF('4.4 DS Đ.Tượng T.Ứng'!$C11=0,"",$C11),'4. C.Tiết P.Án B.Thường'!$F$11:$F$19950,IF('4.4 DS Đ.Tượng T.Ứng'!$D11=0,"",$D11),'4. C.Tiết P.Án B.Thường'!$H$11:$H$19950,IF('4.4 DS Đ.Tượng T.Ứng'!$E11=0,"",$E11))</f>
        <v>50000000</v>
      </c>
      <c r="L11" s="105">
        <f>SUMIFS('9. Thu, chi PABT'!$T$11:$T$20001,'9. Thu, chi PABT'!$J$11:$J$20001,'4.4 DS Đ.Tượng T.Ứng'!$F11,'9. Thu, chi PABT'!$K$11:$K$20001,'4.4 DS Đ.Tượng T.Ứng'!$G11,'9. Thu, chi PABT'!$L$11:$L$20001,'4.4 DS Đ.Tượng T.Ứng'!$H11,'9. Thu, chi PABT'!$M$11:$M$20001,'4.4 DS Đ.Tượng T.Ứng'!$I11,'9. Thu, chi PABT'!$B$11:$B$20001,'4.4 DS Đ.Tượng T.Ứng'!$B11,'9. Thu, chi PABT'!$B$11:$B$20001,"Tạm ứng",'9. Thu, chi PABT'!$D$11:$D$20001,IF('4.4 DS Đ.Tượng T.Ứng'!$C11=0,"",'4.4 DS Đ.Tượng T.Ứng'!$C11),'9. Thu, chi PABT'!$F$11:$F$20001,IF('4.4 DS Đ.Tượng T.Ứng'!$D11=0,"",'4.4 DS Đ.Tượng T.Ứng'!$D11),'9. Thu, chi PABT'!$H$11:$H$20001,IF('4.4 DS Đ.Tượng T.Ứng'!$E11=0,"",'4.4 DS Đ.Tượng T.Ứng'!$E11))+SUMIFS('9. Thu, chi PABT'!$T$11:$T$20001,'9. Thu, chi PABT'!$J$11:$J$20001,'4.4 DS Đ.Tượng T.Ứng'!$F11,'9. Thu, chi PABT'!$K$11:$K$20001,'4.4 DS Đ.Tượng T.Ứng'!$G11,'9. Thu, chi PABT'!$L$11:$L$20001,'4.4 DS Đ.Tượng T.Ứng'!$H11,'9. Thu, chi PABT'!$M$11:$M$20001,'4.4 DS Đ.Tượng T.Ứng'!$I11,'9. Thu, chi PABT'!$B$11:$B$20001,'4.4 DS Đ.Tượng T.Ứng'!$B11,'9. Thu, chi PABT'!$D$11:$D$20001,"Tạm ứng",'9. Thu, chi PABT'!$D$11:$D$20001,IF('4.4 DS Đ.Tượng T.Ứng'!$C11=0,"",'4.4 DS Đ.Tượng T.Ứng'!$C11),'9. Thu, chi PABT'!$F$11:$F$20001,IF('4.4 DS Đ.Tượng T.Ứng'!$D11=0,"",'4.4 DS Đ.Tượng T.Ứng'!$D11),'9. Thu, chi PABT'!$H$11:$H$20001,IF('4.4 DS Đ.Tượng T.Ứng'!$E11=0,"",'4.4 DS Đ.Tượng T.Ứng'!$E11))</f>
        <v>0</v>
      </c>
      <c r="M11" s="105">
        <f>SUMIFS('9. Thu, chi PABT'!$T$11:$T$20001,'9. Thu, chi PABT'!$J$11:$J$20001,'4.4 DS Đ.Tượng T.Ứng'!$F11,'9. Thu, chi PABT'!$K$11:$K$20001,'4.4 DS Đ.Tượng T.Ứng'!$G11,'9. Thu, chi PABT'!$L$11:$L$20001,'4.4 DS Đ.Tượng T.Ứng'!$H11,'9. Thu, chi PABT'!$M$11:$M$20001,'4.4 DS Đ.Tượng T.Ứng'!$I11,'9. Thu, chi PABT'!$B$11:$B$20001,'4.4 DS Đ.Tượng T.Ứng'!$B11,'9. Thu, chi PABT'!$D$11:$D$20001,IF('4.4 DS Đ.Tượng T.Ứng'!$C11=0,"",'4.4 DS Đ.Tượng T.Ứng'!$C11),'9. Thu, chi PABT'!$F$11:$F$20001,"Tạm ứng",'9. Thu, chi PABT'!$F$11:$F$20001,IF('4.4 DS Đ.Tượng T.Ứng'!$D11=0,"",'4.4 DS Đ.Tượng T.Ứng'!$D11),'9. Thu, chi PABT'!$H$11:$H$20001,IF('4.4 DS Đ.Tượng T.Ứng'!$E11=0,"",'4.4 DS Đ.Tượng T.Ứng'!$E11))+SUMIFS('9. Thu, chi PABT'!$T$11:$T$20001,'9. Thu, chi PABT'!$J$11:$J$20001,'4.4 DS Đ.Tượng T.Ứng'!$F11,'9. Thu, chi PABT'!$K$11:$K$20001,'4.4 DS Đ.Tượng T.Ứng'!$G11,'9. Thu, chi PABT'!$L$11:$L$20001,'4.4 DS Đ.Tượng T.Ứng'!$H11,'9. Thu, chi PABT'!$M$11:$M$20001,'4.4 DS Đ.Tượng T.Ứng'!$I11,'9. Thu, chi PABT'!$B$11:$B$20001,'4.4 DS Đ.Tượng T.Ứng'!$B11,'9. Thu, chi PABT'!$D$11:$D$20001,IF('4.4 DS Đ.Tượng T.Ứng'!$C11=0,"",'4.4 DS Đ.Tượng T.Ứng'!$C11),'9. Thu, chi PABT'!$F$11:$F$20001,IF('4.4 DS Đ.Tượng T.Ứng'!$D11=0,"",'4.4 DS Đ.Tượng T.Ứng'!$D11),'9. Thu, chi PABT'!$H$11:$H$20001,"Tạm ứng",'9. Thu, chi PABT'!$H$11:$H$20001,IF('4.4 DS Đ.Tượng T.Ứng'!$E11=0,"",'4.4 DS Đ.Tượng T.Ứng'!$E11))</f>
        <v>50000000</v>
      </c>
      <c r="N11" s="135">
        <f t="shared" si="1"/>
        <v>0</v>
      </c>
      <c r="O11" s="135">
        <f t="shared" si="2"/>
        <v>0</v>
      </c>
    </row>
    <row r="12" spans="1:15" x14ac:dyDescent="0.25">
      <c r="A12" s="88">
        <v>4</v>
      </c>
      <c r="B12" s="86">
        <v>130</v>
      </c>
      <c r="C12" s="86">
        <v>132</v>
      </c>
      <c r="D12" s="86">
        <v>230</v>
      </c>
      <c r="E12" s="86" t="str">
        <v>Tạm ứng</v>
      </c>
      <c r="F12" s="86" t="str">
        <v>Nguyễn Đức Anh</v>
      </c>
      <c r="G12" s="86" t="str">
        <v>Tiên Cát</v>
      </c>
      <c r="H12" s="86" t="str">
        <v>Minh Hà</v>
      </c>
      <c r="I12" s="86" t="str">
        <v>123A</v>
      </c>
      <c r="J12" s="126">
        <f>SUMIFS('4. C.Tiết P.Án B.Thường'!N$11:N$19950,'4. C.Tiết P.Án B.Thường'!$J$11:$J$19950,'4.4 DS Đ.Tượng T.Ứng'!$F12,'4. C.Tiết P.Án B.Thường'!$K$11:$K$19950,'4.4 DS Đ.Tượng T.Ứng'!$G12,'4. C.Tiết P.Án B.Thường'!$L$11:$L$19950,'4.4 DS Đ.Tượng T.Ứng'!$H12,'4. C.Tiết P.Án B.Thường'!$M$11:$M$19950,'4.4 DS Đ.Tượng T.Ứng'!$I12,'4. C.Tiết P.Án B.Thường'!$B$11:$B$19950,'4.4 DS Đ.Tượng T.Ứng'!$B12,'4. C.Tiết P.Án B.Thường'!$D$11:$D$19950,IF('4.4 DS Đ.Tượng T.Ứng'!$C12=0,"",$C12),'4. C.Tiết P.Án B.Thường'!$F$11:$F$19950,IF('4.4 DS Đ.Tượng T.Ứng'!$D12=0,"",$D12),'4. C.Tiết P.Án B.Thường'!$H$11:$H$19950,IF('4.4 DS Đ.Tượng T.Ứng'!$E12=0,"",$E12))</f>
        <v>0</v>
      </c>
      <c r="K12" s="126">
        <f>SUMIFS('4. C.Tiết P.Án B.Thường'!O$11:O$19950,'4. C.Tiết P.Án B.Thường'!$J$11:$J$19950,'4.4 DS Đ.Tượng T.Ứng'!$F12,'4. C.Tiết P.Án B.Thường'!$K$11:$K$19950,'4.4 DS Đ.Tượng T.Ứng'!$G12,'4. C.Tiết P.Án B.Thường'!$L$11:$L$19950,'4.4 DS Đ.Tượng T.Ứng'!$H12,'4. C.Tiết P.Án B.Thường'!$M$11:$M$19950,'4.4 DS Đ.Tượng T.Ứng'!$I12,'4. C.Tiết P.Án B.Thường'!$B$11:$B$19950,'4.4 DS Đ.Tượng T.Ứng'!$B12,'4. C.Tiết P.Án B.Thường'!$D$11:$D$19950,IF('4.4 DS Đ.Tượng T.Ứng'!$C12=0,"",$C12),'4. C.Tiết P.Án B.Thường'!$F$11:$F$19950,IF('4.4 DS Đ.Tượng T.Ứng'!$D12=0,"",$D12),'4. C.Tiết P.Án B.Thường'!$H$11:$H$19950,IF('4.4 DS Đ.Tượng T.Ứng'!$E12=0,"",$E12))</f>
        <v>80000000</v>
      </c>
      <c r="L12" s="105">
        <f>SUMIFS('9. Thu, chi PABT'!$T$11:$T$20001,'9. Thu, chi PABT'!$J$11:$J$20001,'4.4 DS Đ.Tượng T.Ứng'!$F12,'9. Thu, chi PABT'!$K$11:$K$20001,'4.4 DS Đ.Tượng T.Ứng'!$G12,'9. Thu, chi PABT'!$L$11:$L$20001,'4.4 DS Đ.Tượng T.Ứng'!$H12,'9. Thu, chi PABT'!$M$11:$M$20001,'4.4 DS Đ.Tượng T.Ứng'!$I12,'9. Thu, chi PABT'!$B$11:$B$20001,'4.4 DS Đ.Tượng T.Ứng'!$B12,'9. Thu, chi PABT'!$B$11:$B$20001,"Tạm ứng",'9. Thu, chi PABT'!$D$11:$D$20001,IF('4.4 DS Đ.Tượng T.Ứng'!$C12=0,"",'4.4 DS Đ.Tượng T.Ứng'!$C12),'9. Thu, chi PABT'!$F$11:$F$20001,IF('4.4 DS Đ.Tượng T.Ứng'!$D12=0,"",'4.4 DS Đ.Tượng T.Ứng'!$D12),'9. Thu, chi PABT'!$H$11:$H$20001,IF('4.4 DS Đ.Tượng T.Ứng'!$E12=0,"",'4.4 DS Đ.Tượng T.Ứng'!$E12))+SUMIFS('9. Thu, chi PABT'!$T$11:$T$20001,'9. Thu, chi PABT'!$J$11:$J$20001,'4.4 DS Đ.Tượng T.Ứng'!$F12,'9. Thu, chi PABT'!$K$11:$K$20001,'4.4 DS Đ.Tượng T.Ứng'!$G12,'9. Thu, chi PABT'!$L$11:$L$20001,'4.4 DS Đ.Tượng T.Ứng'!$H12,'9. Thu, chi PABT'!$M$11:$M$20001,'4.4 DS Đ.Tượng T.Ứng'!$I12,'9. Thu, chi PABT'!$B$11:$B$20001,'4.4 DS Đ.Tượng T.Ứng'!$B12,'9. Thu, chi PABT'!$D$11:$D$20001,"Tạm ứng",'9. Thu, chi PABT'!$D$11:$D$20001,IF('4.4 DS Đ.Tượng T.Ứng'!$C12=0,"",'4.4 DS Đ.Tượng T.Ứng'!$C12),'9. Thu, chi PABT'!$F$11:$F$20001,IF('4.4 DS Đ.Tượng T.Ứng'!$D12=0,"",'4.4 DS Đ.Tượng T.Ứng'!$D12),'9. Thu, chi PABT'!$H$11:$H$20001,IF('4.4 DS Đ.Tượng T.Ứng'!$E12=0,"",'4.4 DS Đ.Tượng T.Ứng'!$E12))</f>
        <v>0</v>
      </c>
      <c r="M12" s="105">
        <f>SUMIFS('9. Thu, chi PABT'!$T$11:$T$20001,'9. Thu, chi PABT'!$J$11:$J$20001,'4.4 DS Đ.Tượng T.Ứng'!$F12,'9. Thu, chi PABT'!$K$11:$K$20001,'4.4 DS Đ.Tượng T.Ứng'!$G12,'9. Thu, chi PABT'!$L$11:$L$20001,'4.4 DS Đ.Tượng T.Ứng'!$H12,'9. Thu, chi PABT'!$M$11:$M$20001,'4.4 DS Đ.Tượng T.Ứng'!$I12,'9. Thu, chi PABT'!$B$11:$B$20001,'4.4 DS Đ.Tượng T.Ứng'!$B12,'9. Thu, chi PABT'!$D$11:$D$20001,IF('4.4 DS Đ.Tượng T.Ứng'!$C12=0,"",'4.4 DS Đ.Tượng T.Ứng'!$C12),'9. Thu, chi PABT'!$F$11:$F$20001,"Tạm ứng",'9. Thu, chi PABT'!$F$11:$F$20001,IF('4.4 DS Đ.Tượng T.Ứng'!$D12=0,"",'4.4 DS Đ.Tượng T.Ứng'!$D12),'9. Thu, chi PABT'!$H$11:$H$20001,IF('4.4 DS Đ.Tượng T.Ứng'!$E12=0,"",'4.4 DS Đ.Tượng T.Ứng'!$E12))+SUMIFS('9. Thu, chi PABT'!$T$11:$T$20001,'9. Thu, chi PABT'!$J$11:$J$20001,'4.4 DS Đ.Tượng T.Ứng'!$F12,'9. Thu, chi PABT'!$K$11:$K$20001,'4.4 DS Đ.Tượng T.Ứng'!$G12,'9. Thu, chi PABT'!$L$11:$L$20001,'4.4 DS Đ.Tượng T.Ứng'!$H12,'9. Thu, chi PABT'!$M$11:$M$20001,'4.4 DS Đ.Tượng T.Ứng'!$I12,'9. Thu, chi PABT'!$B$11:$B$20001,'4.4 DS Đ.Tượng T.Ứng'!$B12,'9. Thu, chi PABT'!$D$11:$D$20001,IF('4.4 DS Đ.Tượng T.Ứng'!$C12=0,"",'4.4 DS Đ.Tượng T.Ứng'!$C12),'9. Thu, chi PABT'!$F$11:$F$20001,IF('4.4 DS Đ.Tượng T.Ứng'!$D12=0,"",'4.4 DS Đ.Tượng T.Ứng'!$D12),'9. Thu, chi PABT'!$H$11:$H$20001,"Tạm ứng",'9. Thu, chi PABT'!$H$11:$H$20001,IF('4.4 DS Đ.Tượng T.Ứng'!$E12=0,"",'4.4 DS Đ.Tượng T.Ứng'!$E12))</f>
        <v>80000000</v>
      </c>
      <c r="N12" s="135">
        <f t="shared" si="1"/>
        <v>0</v>
      </c>
      <c r="O12" s="135">
        <f t="shared" si="2"/>
        <v>0</v>
      </c>
    </row>
    <row r="13" spans="1:15" x14ac:dyDescent="0.25">
      <c r="A13" s="88">
        <v>5</v>
      </c>
      <c r="B13" s="86"/>
      <c r="C13" s="86"/>
      <c r="D13" s="86"/>
      <c r="E13" s="86"/>
      <c r="F13" s="86"/>
      <c r="G13" s="86"/>
      <c r="H13" s="86"/>
      <c r="I13" s="86"/>
      <c r="J13" s="126">
        <f>SUMIFS('4. C.Tiết P.Án B.Thường'!N$11:N$19950,'4. C.Tiết P.Án B.Thường'!$J$11:$J$19950,'4.4 DS Đ.Tượng T.Ứng'!$F13,'4. C.Tiết P.Án B.Thường'!$K$11:$K$19950,'4.4 DS Đ.Tượng T.Ứng'!$G13,'4. C.Tiết P.Án B.Thường'!$L$11:$L$19950,'4.4 DS Đ.Tượng T.Ứng'!$H13,'4. C.Tiết P.Án B.Thường'!$M$11:$M$19950,'4.4 DS Đ.Tượng T.Ứng'!$I13,'4. C.Tiết P.Án B.Thường'!$B$11:$B$19950,'4.4 DS Đ.Tượng T.Ứng'!$B13,'4. C.Tiết P.Án B.Thường'!$D$11:$D$19950,IF('4.4 DS Đ.Tượng T.Ứng'!$C13=0,"",$C13),'4. C.Tiết P.Án B.Thường'!$F$11:$F$19950,IF('4.4 DS Đ.Tượng T.Ứng'!$D13=0,"",$D13),'4. C.Tiết P.Án B.Thường'!$H$11:$H$19950,IF('4.4 DS Đ.Tượng T.Ứng'!$E13=0,"",$E13))</f>
        <v>0</v>
      </c>
      <c r="K13" s="126">
        <f>SUMIFS('4. C.Tiết P.Án B.Thường'!O$11:O$19950,'4. C.Tiết P.Án B.Thường'!$J$11:$J$19950,'4.4 DS Đ.Tượng T.Ứng'!$F13,'4. C.Tiết P.Án B.Thường'!$K$11:$K$19950,'4.4 DS Đ.Tượng T.Ứng'!$G13,'4. C.Tiết P.Án B.Thường'!$L$11:$L$19950,'4.4 DS Đ.Tượng T.Ứng'!$H13,'4. C.Tiết P.Án B.Thường'!$M$11:$M$19950,'4.4 DS Đ.Tượng T.Ứng'!$I13,'4. C.Tiết P.Án B.Thường'!$B$11:$B$19950,'4.4 DS Đ.Tượng T.Ứng'!$B13,'4. C.Tiết P.Án B.Thường'!$D$11:$D$19950,IF('4.4 DS Đ.Tượng T.Ứng'!$C13=0,"",$C13),'4. C.Tiết P.Án B.Thường'!$F$11:$F$19950,IF('4.4 DS Đ.Tượng T.Ứng'!$D13=0,"",$D13),'4. C.Tiết P.Án B.Thường'!$H$11:$H$19950,IF('4.4 DS Đ.Tượng T.Ứng'!$E13=0,"",$E13))</f>
        <v>0</v>
      </c>
      <c r="L13" s="105">
        <f>SUMIFS('9. Thu, chi PABT'!$T$11:$T$20001,'9. Thu, chi PABT'!$J$11:$J$20001,'4.4 DS Đ.Tượng T.Ứng'!$F13,'9. Thu, chi PABT'!$K$11:$K$20001,'4.4 DS Đ.Tượng T.Ứng'!$G13,'9. Thu, chi PABT'!$L$11:$L$20001,'4.4 DS Đ.Tượng T.Ứng'!$H13,'9. Thu, chi PABT'!$M$11:$M$20001,'4.4 DS Đ.Tượng T.Ứng'!$I13,'9. Thu, chi PABT'!$B$11:$B$20001,'4.4 DS Đ.Tượng T.Ứng'!$B13,'9. Thu, chi PABT'!$B$11:$B$20001,"Tạm ứng",'9. Thu, chi PABT'!$D$11:$D$20001,IF('4.4 DS Đ.Tượng T.Ứng'!$C13=0,"",'4.4 DS Đ.Tượng T.Ứng'!$C13),'9. Thu, chi PABT'!$F$11:$F$20001,IF('4.4 DS Đ.Tượng T.Ứng'!$D13=0,"",'4.4 DS Đ.Tượng T.Ứng'!$D13),'9. Thu, chi PABT'!$H$11:$H$20001,IF('4.4 DS Đ.Tượng T.Ứng'!$E13=0,"",'4.4 DS Đ.Tượng T.Ứng'!$E13))+SUMIFS('9. Thu, chi PABT'!$T$11:$T$20001,'9. Thu, chi PABT'!$J$11:$J$20001,'4.4 DS Đ.Tượng T.Ứng'!$F13,'9. Thu, chi PABT'!$K$11:$K$20001,'4.4 DS Đ.Tượng T.Ứng'!$G13,'9. Thu, chi PABT'!$L$11:$L$20001,'4.4 DS Đ.Tượng T.Ứng'!$H13,'9. Thu, chi PABT'!$M$11:$M$20001,'4.4 DS Đ.Tượng T.Ứng'!$I13,'9. Thu, chi PABT'!$B$11:$B$20001,'4.4 DS Đ.Tượng T.Ứng'!$B13,'9. Thu, chi PABT'!$D$11:$D$20001,"Tạm ứng",'9. Thu, chi PABT'!$D$11:$D$20001,IF('4.4 DS Đ.Tượng T.Ứng'!$C13=0,"",'4.4 DS Đ.Tượng T.Ứng'!$C13),'9. Thu, chi PABT'!$F$11:$F$20001,IF('4.4 DS Đ.Tượng T.Ứng'!$D13=0,"",'4.4 DS Đ.Tượng T.Ứng'!$D13),'9. Thu, chi PABT'!$H$11:$H$20001,IF('4.4 DS Đ.Tượng T.Ứng'!$E13=0,"",'4.4 DS Đ.Tượng T.Ứng'!$E13))</f>
        <v>0</v>
      </c>
      <c r="M13" s="105">
        <f>SUMIFS('9. Thu, chi PABT'!$T$11:$T$20001,'9. Thu, chi PABT'!$J$11:$J$20001,'4.4 DS Đ.Tượng T.Ứng'!$F13,'9. Thu, chi PABT'!$K$11:$K$20001,'4.4 DS Đ.Tượng T.Ứng'!$G13,'9. Thu, chi PABT'!$L$11:$L$20001,'4.4 DS Đ.Tượng T.Ứng'!$H13,'9. Thu, chi PABT'!$M$11:$M$20001,'4.4 DS Đ.Tượng T.Ứng'!$I13,'9. Thu, chi PABT'!$B$11:$B$20001,'4.4 DS Đ.Tượng T.Ứng'!$B13,'9. Thu, chi PABT'!$D$11:$D$20001,IF('4.4 DS Đ.Tượng T.Ứng'!$C13=0,"",'4.4 DS Đ.Tượng T.Ứng'!$C13),'9. Thu, chi PABT'!$F$11:$F$20001,"Tạm ứng",'9. Thu, chi PABT'!$F$11:$F$20001,IF('4.4 DS Đ.Tượng T.Ứng'!$D13=0,"",'4.4 DS Đ.Tượng T.Ứng'!$D13),'9. Thu, chi PABT'!$H$11:$H$20001,IF('4.4 DS Đ.Tượng T.Ứng'!$E13=0,"",'4.4 DS Đ.Tượng T.Ứng'!$E13))+SUMIFS('9. Thu, chi PABT'!$T$11:$T$20001,'9. Thu, chi PABT'!$J$11:$J$20001,'4.4 DS Đ.Tượng T.Ứng'!$F13,'9. Thu, chi PABT'!$K$11:$K$20001,'4.4 DS Đ.Tượng T.Ứng'!$G13,'9. Thu, chi PABT'!$L$11:$L$20001,'4.4 DS Đ.Tượng T.Ứng'!$H13,'9. Thu, chi PABT'!$M$11:$M$20001,'4.4 DS Đ.Tượng T.Ứng'!$I13,'9. Thu, chi PABT'!$B$11:$B$20001,'4.4 DS Đ.Tượng T.Ứng'!$B13,'9. Thu, chi PABT'!$D$11:$D$20001,IF('4.4 DS Đ.Tượng T.Ứng'!$C13=0,"",'4.4 DS Đ.Tượng T.Ứng'!$C13),'9. Thu, chi PABT'!$F$11:$F$20001,IF('4.4 DS Đ.Tượng T.Ứng'!$D13=0,"",'4.4 DS Đ.Tượng T.Ứng'!$D13),'9. Thu, chi PABT'!$H$11:$H$20001,"Tạm ứng",'9. Thu, chi PABT'!$H$11:$H$20001,IF('4.4 DS Đ.Tượng T.Ứng'!$E13=0,"",'4.4 DS Đ.Tượng T.Ứng'!$E13))</f>
        <v>0</v>
      </c>
      <c r="N13" s="135">
        <f t="shared" si="1"/>
        <v>0</v>
      </c>
      <c r="O13" s="135">
        <f t="shared" si="2"/>
        <v>0</v>
      </c>
    </row>
    <row r="14" spans="1:15" x14ac:dyDescent="0.25">
      <c r="A14" s="88">
        <v>6</v>
      </c>
      <c r="B14" s="86"/>
      <c r="C14" s="86"/>
      <c r="D14" s="86"/>
      <c r="E14" s="86"/>
      <c r="F14" s="86"/>
      <c r="G14" s="86"/>
      <c r="H14" s="86"/>
      <c r="I14" s="86"/>
      <c r="J14" s="126">
        <f>SUMIFS('4. C.Tiết P.Án B.Thường'!N$11:N$19950,'4. C.Tiết P.Án B.Thường'!$J$11:$J$19950,'4.4 DS Đ.Tượng T.Ứng'!$F14,'4. C.Tiết P.Án B.Thường'!$K$11:$K$19950,'4.4 DS Đ.Tượng T.Ứng'!$G14,'4. C.Tiết P.Án B.Thường'!$L$11:$L$19950,'4.4 DS Đ.Tượng T.Ứng'!$H14,'4. C.Tiết P.Án B.Thường'!$M$11:$M$19950,'4.4 DS Đ.Tượng T.Ứng'!$I14,'4. C.Tiết P.Án B.Thường'!$B$11:$B$19950,'4.4 DS Đ.Tượng T.Ứng'!$B14,'4. C.Tiết P.Án B.Thường'!$D$11:$D$19950,IF('4.4 DS Đ.Tượng T.Ứng'!$C14=0,"",$C14),'4. C.Tiết P.Án B.Thường'!$F$11:$F$19950,IF('4.4 DS Đ.Tượng T.Ứng'!$D14=0,"",$D14),'4. C.Tiết P.Án B.Thường'!$H$11:$H$19950,IF('4.4 DS Đ.Tượng T.Ứng'!$E14=0,"",$E14))</f>
        <v>0</v>
      </c>
      <c r="K14" s="126">
        <f>SUMIFS('4. C.Tiết P.Án B.Thường'!O$11:O$19950,'4. C.Tiết P.Án B.Thường'!$J$11:$J$19950,'4.4 DS Đ.Tượng T.Ứng'!$F14,'4. C.Tiết P.Án B.Thường'!$K$11:$K$19950,'4.4 DS Đ.Tượng T.Ứng'!$G14,'4. C.Tiết P.Án B.Thường'!$L$11:$L$19950,'4.4 DS Đ.Tượng T.Ứng'!$H14,'4. C.Tiết P.Án B.Thường'!$M$11:$M$19950,'4.4 DS Đ.Tượng T.Ứng'!$I14,'4. C.Tiết P.Án B.Thường'!$B$11:$B$19950,'4.4 DS Đ.Tượng T.Ứng'!$B14,'4. C.Tiết P.Án B.Thường'!$D$11:$D$19950,IF('4.4 DS Đ.Tượng T.Ứng'!$C14=0,"",$C14),'4. C.Tiết P.Án B.Thường'!$F$11:$F$19950,IF('4.4 DS Đ.Tượng T.Ứng'!$D14=0,"",$D14),'4. C.Tiết P.Án B.Thường'!$H$11:$H$19950,IF('4.4 DS Đ.Tượng T.Ứng'!$E14=0,"",$E14))</f>
        <v>0</v>
      </c>
      <c r="L14" s="105">
        <f>SUMIFS('9. Thu, chi PABT'!$T$11:$T$20001,'9. Thu, chi PABT'!$J$11:$J$20001,'4.4 DS Đ.Tượng T.Ứng'!$F14,'9. Thu, chi PABT'!$K$11:$K$20001,'4.4 DS Đ.Tượng T.Ứng'!$G14,'9. Thu, chi PABT'!$L$11:$L$20001,'4.4 DS Đ.Tượng T.Ứng'!$H14,'9. Thu, chi PABT'!$M$11:$M$20001,'4.4 DS Đ.Tượng T.Ứng'!$I14,'9. Thu, chi PABT'!$B$11:$B$20001,'4.4 DS Đ.Tượng T.Ứng'!$B14,'9. Thu, chi PABT'!$B$11:$B$20001,"Tạm ứng",'9. Thu, chi PABT'!$D$11:$D$20001,IF('4.4 DS Đ.Tượng T.Ứng'!$C14=0,"",'4.4 DS Đ.Tượng T.Ứng'!$C14),'9. Thu, chi PABT'!$F$11:$F$20001,IF('4.4 DS Đ.Tượng T.Ứng'!$D14=0,"",'4.4 DS Đ.Tượng T.Ứng'!$D14),'9. Thu, chi PABT'!$H$11:$H$20001,IF('4.4 DS Đ.Tượng T.Ứng'!$E14=0,"",'4.4 DS Đ.Tượng T.Ứng'!$E14))+SUMIFS('9. Thu, chi PABT'!$T$11:$T$20001,'9. Thu, chi PABT'!$J$11:$J$20001,'4.4 DS Đ.Tượng T.Ứng'!$F14,'9. Thu, chi PABT'!$K$11:$K$20001,'4.4 DS Đ.Tượng T.Ứng'!$G14,'9. Thu, chi PABT'!$L$11:$L$20001,'4.4 DS Đ.Tượng T.Ứng'!$H14,'9. Thu, chi PABT'!$M$11:$M$20001,'4.4 DS Đ.Tượng T.Ứng'!$I14,'9. Thu, chi PABT'!$B$11:$B$20001,'4.4 DS Đ.Tượng T.Ứng'!$B14,'9. Thu, chi PABT'!$D$11:$D$20001,"Tạm ứng",'9. Thu, chi PABT'!$D$11:$D$20001,IF('4.4 DS Đ.Tượng T.Ứng'!$C14=0,"",'4.4 DS Đ.Tượng T.Ứng'!$C14),'9. Thu, chi PABT'!$F$11:$F$20001,IF('4.4 DS Đ.Tượng T.Ứng'!$D14=0,"",'4.4 DS Đ.Tượng T.Ứng'!$D14),'9. Thu, chi PABT'!$H$11:$H$20001,IF('4.4 DS Đ.Tượng T.Ứng'!$E14=0,"",'4.4 DS Đ.Tượng T.Ứng'!$E14))</f>
        <v>0</v>
      </c>
      <c r="M14" s="105">
        <f>SUMIFS('9. Thu, chi PABT'!$T$11:$T$20001,'9. Thu, chi PABT'!$J$11:$J$20001,'4.4 DS Đ.Tượng T.Ứng'!$F14,'9. Thu, chi PABT'!$K$11:$K$20001,'4.4 DS Đ.Tượng T.Ứng'!$G14,'9. Thu, chi PABT'!$L$11:$L$20001,'4.4 DS Đ.Tượng T.Ứng'!$H14,'9. Thu, chi PABT'!$M$11:$M$20001,'4.4 DS Đ.Tượng T.Ứng'!$I14,'9. Thu, chi PABT'!$B$11:$B$20001,'4.4 DS Đ.Tượng T.Ứng'!$B14,'9. Thu, chi PABT'!$D$11:$D$20001,IF('4.4 DS Đ.Tượng T.Ứng'!$C14=0,"",'4.4 DS Đ.Tượng T.Ứng'!$C14),'9. Thu, chi PABT'!$F$11:$F$20001,"Tạm ứng",'9. Thu, chi PABT'!$F$11:$F$20001,IF('4.4 DS Đ.Tượng T.Ứng'!$D14=0,"",'4.4 DS Đ.Tượng T.Ứng'!$D14),'9. Thu, chi PABT'!$H$11:$H$20001,IF('4.4 DS Đ.Tượng T.Ứng'!$E14=0,"",'4.4 DS Đ.Tượng T.Ứng'!$E14))+SUMIFS('9. Thu, chi PABT'!$T$11:$T$20001,'9. Thu, chi PABT'!$J$11:$J$20001,'4.4 DS Đ.Tượng T.Ứng'!$F14,'9. Thu, chi PABT'!$K$11:$K$20001,'4.4 DS Đ.Tượng T.Ứng'!$G14,'9. Thu, chi PABT'!$L$11:$L$20001,'4.4 DS Đ.Tượng T.Ứng'!$H14,'9. Thu, chi PABT'!$M$11:$M$20001,'4.4 DS Đ.Tượng T.Ứng'!$I14,'9. Thu, chi PABT'!$B$11:$B$20001,'4.4 DS Đ.Tượng T.Ứng'!$B14,'9. Thu, chi PABT'!$D$11:$D$20001,IF('4.4 DS Đ.Tượng T.Ứng'!$C14=0,"",'4.4 DS Đ.Tượng T.Ứng'!$C14),'9. Thu, chi PABT'!$F$11:$F$20001,IF('4.4 DS Đ.Tượng T.Ứng'!$D14=0,"",'4.4 DS Đ.Tượng T.Ứng'!$D14),'9. Thu, chi PABT'!$H$11:$H$20001,"Tạm ứng",'9. Thu, chi PABT'!$H$11:$H$20001,IF('4.4 DS Đ.Tượng T.Ứng'!$E14=0,"",'4.4 DS Đ.Tượng T.Ứng'!$E14))</f>
        <v>0</v>
      </c>
      <c r="N14" s="135">
        <f t="shared" si="1"/>
        <v>0</v>
      </c>
      <c r="O14" s="135">
        <f t="shared" si="2"/>
        <v>0</v>
      </c>
    </row>
    <row r="15" spans="1:15" x14ac:dyDescent="0.25">
      <c r="A15" s="88">
        <v>7</v>
      </c>
      <c r="B15" s="86"/>
      <c r="C15" s="86"/>
      <c r="D15" s="86"/>
      <c r="E15" s="86"/>
      <c r="F15" s="86"/>
      <c r="G15" s="86"/>
      <c r="H15" s="86"/>
      <c r="I15" s="86"/>
      <c r="J15" s="126">
        <f>SUMIFS('4. C.Tiết P.Án B.Thường'!N$11:N$19950,'4. C.Tiết P.Án B.Thường'!$J$11:$J$19950,'4.4 DS Đ.Tượng T.Ứng'!$F15,'4. C.Tiết P.Án B.Thường'!$K$11:$K$19950,'4.4 DS Đ.Tượng T.Ứng'!$G15,'4. C.Tiết P.Án B.Thường'!$L$11:$L$19950,'4.4 DS Đ.Tượng T.Ứng'!$H15,'4. C.Tiết P.Án B.Thường'!$M$11:$M$19950,'4.4 DS Đ.Tượng T.Ứng'!$I15,'4. C.Tiết P.Án B.Thường'!$B$11:$B$19950,'4.4 DS Đ.Tượng T.Ứng'!$B15,'4. C.Tiết P.Án B.Thường'!$D$11:$D$19950,IF('4.4 DS Đ.Tượng T.Ứng'!$C15=0,"",$C15),'4. C.Tiết P.Án B.Thường'!$F$11:$F$19950,IF('4.4 DS Đ.Tượng T.Ứng'!$D15=0,"",$D15),'4. C.Tiết P.Án B.Thường'!$H$11:$H$19950,IF('4.4 DS Đ.Tượng T.Ứng'!$E15=0,"",$E15))</f>
        <v>0</v>
      </c>
      <c r="K15" s="126">
        <f>SUMIFS('4. C.Tiết P.Án B.Thường'!O$11:O$19950,'4. C.Tiết P.Án B.Thường'!$J$11:$J$19950,'4.4 DS Đ.Tượng T.Ứng'!$F15,'4. C.Tiết P.Án B.Thường'!$K$11:$K$19950,'4.4 DS Đ.Tượng T.Ứng'!$G15,'4. C.Tiết P.Án B.Thường'!$L$11:$L$19950,'4.4 DS Đ.Tượng T.Ứng'!$H15,'4. C.Tiết P.Án B.Thường'!$M$11:$M$19950,'4.4 DS Đ.Tượng T.Ứng'!$I15,'4. C.Tiết P.Án B.Thường'!$B$11:$B$19950,'4.4 DS Đ.Tượng T.Ứng'!$B15,'4. C.Tiết P.Án B.Thường'!$D$11:$D$19950,IF('4.4 DS Đ.Tượng T.Ứng'!$C15=0,"",$C15),'4. C.Tiết P.Án B.Thường'!$F$11:$F$19950,IF('4.4 DS Đ.Tượng T.Ứng'!$D15=0,"",$D15),'4. C.Tiết P.Án B.Thường'!$H$11:$H$19950,IF('4.4 DS Đ.Tượng T.Ứng'!$E15=0,"",$E15))</f>
        <v>0</v>
      </c>
      <c r="L15" s="105">
        <f>SUMIFS('9. Thu, chi PABT'!$T$11:$T$20001,'9. Thu, chi PABT'!$J$11:$J$20001,'4.4 DS Đ.Tượng T.Ứng'!$F15,'9. Thu, chi PABT'!$K$11:$K$20001,'4.4 DS Đ.Tượng T.Ứng'!$G15,'9. Thu, chi PABT'!$L$11:$L$20001,'4.4 DS Đ.Tượng T.Ứng'!$H15,'9. Thu, chi PABT'!$M$11:$M$20001,'4.4 DS Đ.Tượng T.Ứng'!$I15,'9. Thu, chi PABT'!$B$11:$B$20001,'4.4 DS Đ.Tượng T.Ứng'!$B15,'9. Thu, chi PABT'!$B$11:$B$20001,"Tạm ứng",'9. Thu, chi PABT'!$D$11:$D$20001,IF('4.4 DS Đ.Tượng T.Ứng'!$C15=0,"",'4.4 DS Đ.Tượng T.Ứng'!$C15),'9. Thu, chi PABT'!$F$11:$F$20001,IF('4.4 DS Đ.Tượng T.Ứng'!$D15=0,"",'4.4 DS Đ.Tượng T.Ứng'!$D15),'9. Thu, chi PABT'!$H$11:$H$20001,IF('4.4 DS Đ.Tượng T.Ứng'!$E15=0,"",'4.4 DS Đ.Tượng T.Ứng'!$E15))+SUMIFS('9. Thu, chi PABT'!$T$11:$T$20001,'9. Thu, chi PABT'!$J$11:$J$20001,'4.4 DS Đ.Tượng T.Ứng'!$F15,'9. Thu, chi PABT'!$K$11:$K$20001,'4.4 DS Đ.Tượng T.Ứng'!$G15,'9. Thu, chi PABT'!$L$11:$L$20001,'4.4 DS Đ.Tượng T.Ứng'!$H15,'9. Thu, chi PABT'!$M$11:$M$20001,'4.4 DS Đ.Tượng T.Ứng'!$I15,'9. Thu, chi PABT'!$B$11:$B$20001,'4.4 DS Đ.Tượng T.Ứng'!$B15,'9. Thu, chi PABT'!$D$11:$D$20001,"Tạm ứng",'9. Thu, chi PABT'!$D$11:$D$20001,IF('4.4 DS Đ.Tượng T.Ứng'!$C15=0,"",'4.4 DS Đ.Tượng T.Ứng'!$C15),'9. Thu, chi PABT'!$F$11:$F$20001,IF('4.4 DS Đ.Tượng T.Ứng'!$D15=0,"",'4.4 DS Đ.Tượng T.Ứng'!$D15),'9. Thu, chi PABT'!$H$11:$H$20001,IF('4.4 DS Đ.Tượng T.Ứng'!$E15=0,"",'4.4 DS Đ.Tượng T.Ứng'!$E15))</f>
        <v>0</v>
      </c>
      <c r="M15" s="105">
        <f>SUMIFS('9. Thu, chi PABT'!$T$11:$T$20001,'9. Thu, chi PABT'!$J$11:$J$20001,'4.4 DS Đ.Tượng T.Ứng'!$F15,'9. Thu, chi PABT'!$K$11:$K$20001,'4.4 DS Đ.Tượng T.Ứng'!$G15,'9. Thu, chi PABT'!$L$11:$L$20001,'4.4 DS Đ.Tượng T.Ứng'!$H15,'9. Thu, chi PABT'!$M$11:$M$20001,'4.4 DS Đ.Tượng T.Ứng'!$I15,'9. Thu, chi PABT'!$B$11:$B$20001,'4.4 DS Đ.Tượng T.Ứng'!$B15,'9. Thu, chi PABT'!$D$11:$D$20001,IF('4.4 DS Đ.Tượng T.Ứng'!$C15=0,"",'4.4 DS Đ.Tượng T.Ứng'!$C15),'9. Thu, chi PABT'!$F$11:$F$20001,"Tạm ứng",'9. Thu, chi PABT'!$F$11:$F$20001,IF('4.4 DS Đ.Tượng T.Ứng'!$D15=0,"",'4.4 DS Đ.Tượng T.Ứng'!$D15),'9. Thu, chi PABT'!$H$11:$H$20001,IF('4.4 DS Đ.Tượng T.Ứng'!$E15=0,"",'4.4 DS Đ.Tượng T.Ứng'!$E15))+SUMIFS('9. Thu, chi PABT'!$T$11:$T$20001,'9. Thu, chi PABT'!$J$11:$J$20001,'4.4 DS Đ.Tượng T.Ứng'!$F15,'9. Thu, chi PABT'!$K$11:$K$20001,'4.4 DS Đ.Tượng T.Ứng'!$G15,'9. Thu, chi PABT'!$L$11:$L$20001,'4.4 DS Đ.Tượng T.Ứng'!$H15,'9. Thu, chi PABT'!$M$11:$M$20001,'4.4 DS Đ.Tượng T.Ứng'!$I15,'9. Thu, chi PABT'!$B$11:$B$20001,'4.4 DS Đ.Tượng T.Ứng'!$B15,'9. Thu, chi PABT'!$D$11:$D$20001,IF('4.4 DS Đ.Tượng T.Ứng'!$C15=0,"",'4.4 DS Đ.Tượng T.Ứng'!$C15),'9. Thu, chi PABT'!$F$11:$F$20001,IF('4.4 DS Đ.Tượng T.Ứng'!$D15=0,"",'4.4 DS Đ.Tượng T.Ứng'!$D15),'9. Thu, chi PABT'!$H$11:$H$20001,"Tạm ứng",'9. Thu, chi PABT'!$H$11:$H$20001,IF('4.4 DS Đ.Tượng T.Ứng'!$E15=0,"",'4.4 DS Đ.Tượng T.Ứng'!$E15))</f>
        <v>0</v>
      </c>
      <c r="N15" s="135">
        <f t="shared" si="1"/>
        <v>0</v>
      </c>
      <c r="O15" s="135">
        <f t="shared" si="2"/>
        <v>0</v>
      </c>
    </row>
    <row r="16" spans="1:15" x14ac:dyDescent="0.25">
      <c r="A16" s="88">
        <v>8</v>
      </c>
      <c r="B16" s="86"/>
      <c r="C16" s="86"/>
      <c r="D16" s="86"/>
      <c r="E16" s="86"/>
      <c r="F16" s="86"/>
      <c r="G16" s="86"/>
      <c r="H16" s="86"/>
      <c r="I16" s="86"/>
      <c r="J16" s="126">
        <f>SUMIFS('4. C.Tiết P.Án B.Thường'!N$11:N$19950,'4. C.Tiết P.Án B.Thường'!$J$11:$J$19950,'4.4 DS Đ.Tượng T.Ứng'!$F16,'4. C.Tiết P.Án B.Thường'!$K$11:$K$19950,'4.4 DS Đ.Tượng T.Ứng'!$G16,'4. C.Tiết P.Án B.Thường'!$L$11:$L$19950,'4.4 DS Đ.Tượng T.Ứng'!$H16,'4. C.Tiết P.Án B.Thường'!$M$11:$M$19950,'4.4 DS Đ.Tượng T.Ứng'!$I16,'4. C.Tiết P.Án B.Thường'!$B$11:$B$19950,'4.4 DS Đ.Tượng T.Ứng'!$B16,'4. C.Tiết P.Án B.Thường'!$D$11:$D$19950,IF('4.4 DS Đ.Tượng T.Ứng'!$C16=0,"",$C16),'4. C.Tiết P.Án B.Thường'!$F$11:$F$19950,IF('4.4 DS Đ.Tượng T.Ứng'!$D16=0,"",$D16),'4. C.Tiết P.Án B.Thường'!$H$11:$H$19950,IF('4.4 DS Đ.Tượng T.Ứng'!$E16=0,"",$E16))</f>
        <v>0</v>
      </c>
      <c r="K16" s="126">
        <f>SUMIFS('4. C.Tiết P.Án B.Thường'!O$11:O$19950,'4. C.Tiết P.Án B.Thường'!$J$11:$J$19950,'4.4 DS Đ.Tượng T.Ứng'!$F16,'4. C.Tiết P.Án B.Thường'!$K$11:$K$19950,'4.4 DS Đ.Tượng T.Ứng'!$G16,'4. C.Tiết P.Án B.Thường'!$L$11:$L$19950,'4.4 DS Đ.Tượng T.Ứng'!$H16,'4. C.Tiết P.Án B.Thường'!$M$11:$M$19950,'4.4 DS Đ.Tượng T.Ứng'!$I16,'4. C.Tiết P.Án B.Thường'!$B$11:$B$19950,'4.4 DS Đ.Tượng T.Ứng'!$B16,'4. C.Tiết P.Án B.Thường'!$D$11:$D$19950,IF('4.4 DS Đ.Tượng T.Ứng'!$C16=0,"",$C16),'4. C.Tiết P.Án B.Thường'!$F$11:$F$19950,IF('4.4 DS Đ.Tượng T.Ứng'!$D16=0,"",$D16),'4. C.Tiết P.Án B.Thường'!$H$11:$H$19950,IF('4.4 DS Đ.Tượng T.Ứng'!$E16=0,"",$E16))</f>
        <v>0</v>
      </c>
      <c r="L16" s="105">
        <f>SUMIFS('9. Thu, chi PABT'!$T$11:$T$20001,'9. Thu, chi PABT'!$J$11:$J$20001,'4.4 DS Đ.Tượng T.Ứng'!$F16,'9. Thu, chi PABT'!$K$11:$K$20001,'4.4 DS Đ.Tượng T.Ứng'!$G16,'9. Thu, chi PABT'!$L$11:$L$20001,'4.4 DS Đ.Tượng T.Ứng'!$H16,'9. Thu, chi PABT'!$M$11:$M$20001,'4.4 DS Đ.Tượng T.Ứng'!$I16,'9. Thu, chi PABT'!$B$11:$B$20001,'4.4 DS Đ.Tượng T.Ứng'!$B16,'9. Thu, chi PABT'!$B$11:$B$20001,"Tạm ứng",'9. Thu, chi PABT'!$D$11:$D$20001,IF('4.4 DS Đ.Tượng T.Ứng'!$C16=0,"",'4.4 DS Đ.Tượng T.Ứng'!$C16),'9. Thu, chi PABT'!$F$11:$F$20001,IF('4.4 DS Đ.Tượng T.Ứng'!$D16=0,"",'4.4 DS Đ.Tượng T.Ứng'!$D16),'9. Thu, chi PABT'!$H$11:$H$20001,IF('4.4 DS Đ.Tượng T.Ứng'!$E16=0,"",'4.4 DS Đ.Tượng T.Ứng'!$E16))+SUMIFS('9. Thu, chi PABT'!$T$11:$T$20001,'9. Thu, chi PABT'!$J$11:$J$20001,'4.4 DS Đ.Tượng T.Ứng'!$F16,'9. Thu, chi PABT'!$K$11:$K$20001,'4.4 DS Đ.Tượng T.Ứng'!$G16,'9. Thu, chi PABT'!$L$11:$L$20001,'4.4 DS Đ.Tượng T.Ứng'!$H16,'9. Thu, chi PABT'!$M$11:$M$20001,'4.4 DS Đ.Tượng T.Ứng'!$I16,'9. Thu, chi PABT'!$B$11:$B$20001,'4.4 DS Đ.Tượng T.Ứng'!$B16,'9. Thu, chi PABT'!$D$11:$D$20001,"Tạm ứng",'9. Thu, chi PABT'!$D$11:$D$20001,IF('4.4 DS Đ.Tượng T.Ứng'!$C16=0,"",'4.4 DS Đ.Tượng T.Ứng'!$C16),'9. Thu, chi PABT'!$F$11:$F$20001,IF('4.4 DS Đ.Tượng T.Ứng'!$D16=0,"",'4.4 DS Đ.Tượng T.Ứng'!$D16),'9. Thu, chi PABT'!$H$11:$H$20001,IF('4.4 DS Đ.Tượng T.Ứng'!$E16=0,"",'4.4 DS Đ.Tượng T.Ứng'!$E16))</f>
        <v>0</v>
      </c>
      <c r="M16" s="105">
        <f>SUMIFS('9. Thu, chi PABT'!$T$11:$T$20001,'9. Thu, chi PABT'!$J$11:$J$20001,'4.4 DS Đ.Tượng T.Ứng'!$F16,'9. Thu, chi PABT'!$K$11:$K$20001,'4.4 DS Đ.Tượng T.Ứng'!$G16,'9. Thu, chi PABT'!$L$11:$L$20001,'4.4 DS Đ.Tượng T.Ứng'!$H16,'9. Thu, chi PABT'!$M$11:$M$20001,'4.4 DS Đ.Tượng T.Ứng'!$I16,'9. Thu, chi PABT'!$B$11:$B$20001,'4.4 DS Đ.Tượng T.Ứng'!$B16,'9. Thu, chi PABT'!$D$11:$D$20001,IF('4.4 DS Đ.Tượng T.Ứng'!$C16=0,"",'4.4 DS Đ.Tượng T.Ứng'!$C16),'9. Thu, chi PABT'!$F$11:$F$20001,"Tạm ứng",'9. Thu, chi PABT'!$F$11:$F$20001,IF('4.4 DS Đ.Tượng T.Ứng'!$D16=0,"",'4.4 DS Đ.Tượng T.Ứng'!$D16),'9. Thu, chi PABT'!$H$11:$H$20001,IF('4.4 DS Đ.Tượng T.Ứng'!$E16=0,"",'4.4 DS Đ.Tượng T.Ứng'!$E16))+SUMIFS('9. Thu, chi PABT'!$T$11:$T$20001,'9. Thu, chi PABT'!$J$11:$J$20001,'4.4 DS Đ.Tượng T.Ứng'!$F16,'9. Thu, chi PABT'!$K$11:$K$20001,'4.4 DS Đ.Tượng T.Ứng'!$G16,'9. Thu, chi PABT'!$L$11:$L$20001,'4.4 DS Đ.Tượng T.Ứng'!$H16,'9. Thu, chi PABT'!$M$11:$M$20001,'4.4 DS Đ.Tượng T.Ứng'!$I16,'9. Thu, chi PABT'!$B$11:$B$20001,'4.4 DS Đ.Tượng T.Ứng'!$B16,'9. Thu, chi PABT'!$D$11:$D$20001,IF('4.4 DS Đ.Tượng T.Ứng'!$C16=0,"",'4.4 DS Đ.Tượng T.Ứng'!$C16),'9. Thu, chi PABT'!$F$11:$F$20001,IF('4.4 DS Đ.Tượng T.Ứng'!$D16=0,"",'4.4 DS Đ.Tượng T.Ứng'!$D16),'9. Thu, chi PABT'!$H$11:$H$20001,"Tạm ứng",'9. Thu, chi PABT'!$H$11:$H$20001,IF('4.4 DS Đ.Tượng T.Ứng'!$E16=0,"",'4.4 DS Đ.Tượng T.Ứng'!$E16))</f>
        <v>0</v>
      </c>
      <c r="N16" s="135">
        <f t="shared" si="1"/>
        <v>0</v>
      </c>
      <c r="O16" s="135">
        <f t="shared" si="2"/>
        <v>0</v>
      </c>
    </row>
    <row r="17" spans="1:15" x14ac:dyDescent="0.25">
      <c r="A17" s="88">
        <v>9</v>
      </c>
      <c r="B17" s="86"/>
      <c r="C17" s="86"/>
      <c r="D17" s="86"/>
      <c r="E17" s="86"/>
      <c r="F17" s="86"/>
      <c r="G17" s="86"/>
      <c r="H17" s="86"/>
      <c r="I17" s="86"/>
      <c r="J17" s="126">
        <f>SUMIFS('4. C.Tiết P.Án B.Thường'!N$11:N$19950,'4. C.Tiết P.Án B.Thường'!$J$11:$J$19950,'4.4 DS Đ.Tượng T.Ứng'!$F17,'4. C.Tiết P.Án B.Thường'!$K$11:$K$19950,'4.4 DS Đ.Tượng T.Ứng'!$G17,'4. C.Tiết P.Án B.Thường'!$L$11:$L$19950,'4.4 DS Đ.Tượng T.Ứng'!$H17,'4. C.Tiết P.Án B.Thường'!$M$11:$M$19950,'4.4 DS Đ.Tượng T.Ứng'!$I17,'4. C.Tiết P.Án B.Thường'!$B$11:$B$19950,'4.4 DS Đ.Tượng T.Ứng'!$B17,'4. C.Tiết P.Án B.Thường'!$D$11:$D$19950,IF('4.4 DS Đ.Tượng T.Ứng'!$C17=0,"",$C17),'4. C.Tiết P.Án B.Thường'!$F$11:$F$19950,IF('4.4 DS Đ.Tượng T.Ứng'!$D17=0,"",$D17),'4. C.Tiết P.Án B.Thường'!$H$11:$H$19950,IF('4.4 DS Đ.Tượng T.Ứng'!$E17=0,"",$E17))</f>
        <v>0</v>
      </c>
      <c r="K17" s="126">
        <f>SUMIFS('4. C.Tiết P.Án B.Thường'!O$11:O$19950,'4. C.Tiết P.Án B.Thường'!$J$11:$J$19950,'4.4 DS Đ.Tượng T.Ứng'!$F17,'4. C.Tiết P.Án B.Thường'!$K$11:$K$19950,'4.4 DS Đ.Tượng T.Ứng'!$G17,'4. C.Tiết P.Án B.Thường'!$L$11:$L$19950,'4.4 DS Đ.Tượng T.Ứng'!$H17,'4. C.Tiết P.Án B.Thường'!$M$11:$M$19950,'4.4 DS Đ.Tượng T.Ứng'!$I17,'4. C.Tiết P.Án B.Thường'!$B$11:$B$19950,'4.4 DS Đ.Tượng T.Ứng'!$B17,'4. C.Tiết P.Án B.Thường'!$D$11:$D$19950,IF('4.4 DS Đ.Tượng T.Ứng'!$C17=0,"",$C17),'4. C.Tiết P.Án B.Thường'!$F$11:$F$19950,IF('4.4 DS Đ.Tượng T.Ứng'!$D17=0,"",$D17),'4. C.Tiết P.Án B.Thường'!$H$11:$H$19950,IF('4.4 DS Đ.Tượng T.Ứng'!$E17=0,"",$E17))</f>
        <v>0</v>
      </c>
      <c r="L17" s="105">
        <f>SUMIFS('9. Thu, chi PABT'!$T$11:$T$20001,'9. Thu, chi PABT'!$J$11:$J$20001,'4.4 DS Đ.Tượng T.Ứng'!$F17,'9. Thu, chi PABT'!$K$11:$K$20001,'4.4 DS Đ.Tượng T.Ứng'!$G17,'9. Thu, chi PABT'!$L$11:$L$20001,'4.4 DS Đ.Tượng T.Ứng'!$H17,'9. Thu, chi PABT'!$M$11:$M$20001,'4.4 DS Đ.Tượng T.Ứng'!$I17,'9. Thu, chi PABT'!$B$11:$B$20001,'4.4 DS Đ.Tượng T.Ứng'!$B17,'9. Thu, chi PABT'!$B$11:$B$20001,"Tạm ứng",'9. Thu, chi PABT'!$D$11:$D$20001,IF('4.4 DS Đ.Tượng T.Ứng'!$C17=0,"",'4.4 DS Đ.Tượng T.Ứng'!$C17),'9. Thu, chi PABT'!$F$11:$F$20001,IF('4.4 DS Đ.Tượng T.Ứng'!$D17=0,"",'4.4 DS Đ.Tượng T.Ứng'!$D17),'9. Thu, chi PABT'!$H$11:$H$20001,IF('4.4 DS Đ.Tượng T.Ứng'!$E17=0,"",'4.4 DS Đ.Tượng T.Ứng'!$E17))+SUMIFS('9. Thu, chi PABT'!$T$11:$T$20001,'9. Thu, chi PABT'!$J$11:$J$20001,'4.4 DS Đ.Tượng T.Ứng'!$F17,'9. Thu, chi PABT'!$K$11:$K$20001,'4.4 DS Đ.Tượng T.Ứng'!$G17,'9. Thu, chi PABT'!$L$11:$L$20001,'4.4 DS Đ.Tượng T.Ứng'!$H17,'9. Thu, chi PABT'!$M$11:$M$20001,'4.4 DS Đ.Tượng T.Ứng'!$I17,'9. Thu, chi PABT'!$B$11:$B$20001,'4.4 DS Đ.Tượng T.Ứng'!$B17,'9. Thu, chi PABT'!$D$11:$D$20001,"Tạm ứng",'9. Thu, chi PABT'!$D$11:$D$20001,IF('4.4 DS Đ.Tượng T.Ứng'!$C17=0,"",'4.4 DS Đ.Tượng T.Ứng'!$C17),'9. Thu, chi PABT'!$F$11:$F$20001,IF('4.4 DS Đ.Tượng T.Ứng'!$D17=0,"",'4.4 DS Đ.Tượng T.Ứng'!$D17),'9. Thu, chi PABT'!$H$11:$H$20001,IF('4.4 DS Đ.Tượng T.Ứng'!$E17=0,"",'4.4 DS Đ.Tượng T.Ứng'!$E17))</f>
        <v>0</v>
      </c>
      <c r="M17" s="105">
        <f>SUMIFS('9. Thu, chi PABT'!$T$11:$T$20001,'9. Thu, chi PABT'!$J$11:$J$20001,'4.4 DS Đ.Tượng T.Ứng'!$F17,'9. Thu, chi PABT'!$K$11:$K$20001,'4.4 DS Đ.Tượng T.Ứng'!$G17,'9. Thu, chi PABT'!$L$11:$L$20001,'4.4 DS Đ.Tượng T.Ứng'!$H17,'9. Thu, chi PABT'!$M$11:$M$20001,'4.4 DS Đ.Tượng T.Ứng'!$I17,'9. Thu, chi PABT'!$B$11:$B$20001,'4.4 DS Đ.Tượng T.Ứng'!$B17,'9. Thu, chi PABT'!$D$11:$D$20001,IF('4.4 DS Đ.Tượng T.Ứng'!$C17=0,"",'4.4 DS Đ.Tượng T.Ứng'!$C17),'9. Thu, chi PABT'!$F$11:$F$20001,"Tạm ứng",'9. Thu, chi PABT'!$F$11:$F$20001,IF('4.4 DS Đ.Tượng T.Ứng'!$D17=0,"",'4.4 DS Đ.Tượng T.Ứng'!$D17),'9. Thu, chi PABT'!$H$11:$H$20001,IF('4.4 DS Đ.Tượng T.Ứng'!$E17=0,"",'4.4 DS Đ.Tượng T.Ứng'!$E17))+SUMIFS('9. Thu, chi PABT'!$T$11:$T$20001,'9. Thu, chi PABT'!$J$11:$J$20001,'4.4 DS Đ.Tượng T.Ứng'!$F17,'9. Thu, chi PABT'!$K$11:$K$20001,'4.4 DS Đ.Tượng T.Ứng'!$G17,'9. Thu, chi PABT'!$L$11:$L$20001,'4.4 DS Đ.Tượng T.Ứng'!$H17,'9. Thu, chi PABT'!$M$11:$M$20001,'4.4 DS Đ.Tượng T.Ứng'!$I17,'9. Thu, chi PABT'!$B$11:$B$20001,'4.4 DS Đ.Tượng T.Ứng'!$B17,'9. Thu, chi PABT'!$D$11:$D$20001,IF('4.4 DS Đ.Tượng T.Ứng'!$C17=0,"",'4.4 DS Đ.Tượng T.Ứng'!$C17),'9. Thu, chi PABT'!$F$11:$F$20001,IF('4.4 DS Đ.Tượng T.Ứng'!$D17=0,"",'4.4 DS Đ.Tượng T.Ứng'!$D17),'9. Thu, chi PABT'!$H$11:$H$20001,"Tạm ứng",'9. Thu, chi PABT'!$H$11:$H$20001,IF('4.4 DS Đ.Tượng T.Ứng'!$E17=0,"",'4.4 DS Đ.Tượng T.Ứng'!$E17))</f>
        <v>0</v>
      </c>
      <c r="N17" s="135">
        <f t="shared" si="1"/>
        <v>0</v>
      </c>
      <c r="O17" s="135">
        <f t="shared" si="2"/>
        <v>0</v>
      </c>
    </row>
    <row r="18" spans="1:15" x14ac:dyDescent="0.25">
      <c r="A18" s="88">
        <v>10</v>
      </c>
      <c r="B18" s="86"/>
      <c r="C18" s="86"/>
      <c r="D18" s="86"/>
      <c r="E18" s="86"/>
      <c r="F18" s="86"/>
      <c r="G18" s="86"/>
      <c r="H18" s="86"/>
      <c r="I18" s="86"/>
      <c r="J18" s="126">
        <f>SUMIFS('4. C.Tiết P.Án B.Thường'!N$11:N$19950,'4. C.Tiết P.Án B.Thường'!$J$11:$J$19950,'4.4 DS Đ.Tượng T.Ứng'!$F18,'4. C.Tiết P.Án B.Thường'!$K$11:$K$19950,'4.4 DS Đ.Tượng T.Ứng'!$G18,'4. C.Tiết P.Án B.Thường'!$L$11:$L$19950,'4.4 DS Đ.Tượng T.Ứng'!$H18,'4. C.Tiết P.Án B.Thường'!$M$11:$M$19950,'4.4 DS Đ.Tượng T.Ứng'!$I18,'4. C.Tiết P.Án B.Thường'!$B$11:$B$19950,'4.4 DS Đ.Tượng T.Ứng'!$B18,'4. C.Tiết P.Án B.Thường'!$D$11:$D$19950,IF('4.4 DS Đ.Tượng T.Ứng'!$C18=0,"",$C18),'4. C.Tiết P.Án B.Thường'!$F$11:$F$19950,IF('4.4 DS Đ.Tượng T.Ứng'!$D18=0,"",$D18),'4. C.Tiết P.Án B.Thường'!$H$11:$H$19950,IF('4.4 DS Đ.Tượng T.Ứng'!$E18=0,"",$E18))</f>
        <v>0</v>
      </c>
      <c r="K18" s="126">
        <f>SUMIFS('4. C.Tiết P.Án B.Thường'!O$11:O$19950,'4. C.Tiết P.Án B.Thường'!$J$11:$J$19950,'4.4 DS Đ.Tượng T.Ứng'!$F18,'4. C.Tiết P.Án B.Thường'!$K$11:$K$19950,'4.4 DS Đ.Tượng T.Ứng'!$G18,'4. C.Tiết P.Án B.Thường'!$L$11:$L$19950,'4.4 DS Đ.Tượng T.Ứng'!$H18,'4. C.Tiết P.Án B.Thường'!$M$11:$M$19950,'4.4 DS Đ.Tượng T.Ứng'!$I18,'4. C.Tiết P.Án B.Thường'!$B$11:$B$19950,'4.4 DS Đ.Tượng T.Ứng'!$B18,'4. C.Tiết P.Án B.Thường'!$D$11:$D$19950,IF('4.4 DS Đ.Tượng T.Ứng'!$C18=0,"",$C18),'4. C.Tiết P.Án B.Thường'!$F$11:$F$19950,IF('4.4 DS Đ.Tượng T.Ứng'!$D18=0,"",$D18),'4. C.Tiết P.Án B.Thường'!$H$11:$H$19950,IF('4.4 DS Đ.Tượng T.Ứng'!$E18=0,"",$E18))</f>
        <v>0</v>
      </c>
      <c r="L18" s="105">
        <f>SUMIFS('9. Thu, chi PABT'!$T$11:$T$20001,'9. Thu, chi PABT'!$J$11:$J$20001,'4.4 DS Đ.Tượng T.Ứng'!$F18,'9. Thu, chi PABT'!$K$11:$K$20001,'4.4 DS Đ.Tượng T.Ứng'!$G18,'9. Thu, chi PABT'!$L$11:$L$20001,'4.4 DS Đ.Tượng T.Ứng'!$H18,'9. Thu, chi PABT'!$M$11:$M$20001,'4.4 DS Đ.Tượng T.Ứng'!$I18,'9. Thu, chi PABT'!$B$11:$B$20001,'4.4 DS Đ.Tượng T.Ứng'!$B18,'9. Thu, chi PABT'!$B$11:$B$20001,"Tạm ứng",'9. Thu, chi PABT'!$D$11:$D$20001,IF('4.4 DS Đ.Tượng T.Ứng'!$C18=0,"",'4.4 DS Đ.Tượng T.Ứng'!$C18),'9. Thu, chi PABT'!$F$11:$F$20001,IF('4.4 DS Đ.Tượng T.Ứng'!$D18=0,"",'4.4 DS Đ.Tượng T.Ứng'!$D18),'9. Thu, chi PABT'!$H$11:$H$20001,IF('4.4 DS Đ.Tượng T.Ứng'!$E18=0,"",'4.4 DS Đ.Tượng T.Ứng'!$E18))+SUMIFS('9. Thu, chi PABT'!$T$11:$T$20001,'9. Thu, chi PABT'!$J$11:$J$20001,'4.4 DS Đ.Tượng T.Ứng'!$F18,'9. Thu, chi PABT'!$K$11:$K$20001,'4.4 DS Đ.Tượng T.Ứng'!$G18,'9. Thu, chi PABT'!$L$11:$L$20001,'4.4 DS Đ.Tượng T.Ứng'!$H18,'9. Thu, chi PABT'!$M$11:$M$20001,'4.4 DS Đ.Tượng T.Ứng'!$I18,'9. Thu, chi PABT'!$B$11:$B$20001,'4.4 DS Đ.Tượng T.Ứng'!$B18,'9. Thu, chi PABT'!$D$11:$D$20001,"Tạm ứng",'9. Thu, chi PABT'!$D$11:$D$20001,IF('4.4 DS Đ.Tượng T.Ứng'!$C18=0,"",'4.4 DS Đ.Tượng T.Ứng'!$C18),'9. Thu, chi PABT'!$F$11:$F$20001,IF('4.4 DS Đ.Tượng T.Ứng'!$D18=0,"",'4.4 DS Đ.Tượng T.Ứng'!$D18),'9. Thu, chi PABT'!$H$11:$H$20001,IF('4.4 DS Đ.Tượng T.Ứng'!$E18=0,"",'4.4 DS Đ.Tượng T.Ứng'!$E18))</f>
        <v>0</v>
      </c>
      <c r="M18" s="105">
        <f>SUMIFS('9. Thu, chi PABT'!$T$11:$T$20001,'9. Thu, chi PABT'!$J$11:$J$20001,'4.4 DS Đ.Tượng T.Ứng'!$F18,'9. Thu, chi PABT'!$K$11:$K$20001,'4.4 DS Đ.Tượng T.Ứng'!$G18,'9. Thu, chi PABT'!$L$11:$L$20001,'4.4 DS Đ.Tượng T.Ứng'!$H18,'9. Thu, chi PABT'!$M$11:$M$20001,'4.4 DS Đ.Tượng T.Ứng'!$I18,'9. Thu, chi PABT'!$B$11:$B$20001,'4.4 DS Đ.Tượng T.Ứng'!$B18,'9. Thu, chi PABT'!$D$11:$D$20001,IF('4.4 DS Đ.Tượng T.Ứng'!$C18=0,"",'4.4 DS Đ.Tượng T.Ứng'!$C18),'9. Thu, chi PABT'!$F$11:$F$20001,"Tạm ứng",'9. Thu, chi PABT'!$F$11:$F$20001,IF('4.4 DS Đ.Tượng T.Ứng'!$D18=0,"",'4.4 DS Đ.Tượng T.Ứng'!$D18),'9. Thu, chi PABT'!$H$11:$H$20001,IF('4.4 DS Đ.Tượng T.Ứng'!$E18=0,"",'4.4 DS Đ.Tượng T.Ứng'!$E18))+SUMIFS('9. Thu, chi PABT'!$T$11:$T$20001,'9. Thu, chi PABT'!$J$11:$J$20001,'4.4 DS Đ.Tượng T.Ứng'!$F18,'9. Thu, chi PABT'!$K$11:$K$20001,'4.4 DS Đ.Tượng T.Ứng'!$G18,'9. Thu, chi PABT'!$L$11:$L$20001,'4.4 DS Đ.Tượng T.Ứng'!$H18,'9. Thu, chi PABT'!$M$11:$M$20001,'4.4 DS Đ.Tượng T.Ứng'!$I18,'9. Thu, chi PABT'!$B$11:$B$20001,'4.4 DS Đ.Tượng T.Ứng'!$B18,'9. Thu, chi PABT'!$D$11:$D$20001,IF('4.4 DS Đ.Tượng T.Ứng'!$C18=0,"",'4.4 DS Đ.Tượng T.Ứng'!$C18),'9. Thu, chi PABT'!$F$11:$F$20001,IF('4.4 DS Đ.Tượng T.Ứng'!$D18=0,"",'4.4 DS Đ.Tượng T.Ứng'!$D18),'9. Thu, chi PABT'!$H$11:$H$20001,"Tạm ứng",'9. Thu, chi PABT'!$H$11:$H$20001,IF('4.4 DS Đ.Tượng T.Ứng'!$E18=0,"",'4.4 DS Đ.Tượng T.Ứng'!$E18))</f>
        <v>0</v>
      </c>
      <c r="N18" s="135">
        <f t="shared" si="1"/>
        <v>0</v>
      </c>
      <c r="O18" s="135">
        <f t="shared" si="2"/>
        <v>0</v>
      </c>
    </row>
    <row r="19" spans="1:15" x14ac:dyDescent="0.25">
      <c r="A19" s="88">
        <v>11</v>
      </c>
      <c r="B19" s="86"/>
      <c r="C19" s="86"/>
      <c r="D19" s="86"/>
      <c r="E19" s="86"/>
      <c r="F19" s="86"/>
      <c r="G19" s="86"/>
      <c r="H19" s="86"/>
      <c r="I19" s="86"/>
      <c r="J19" s="126">
        <f>SUMIFS('4. C.Tiết P.Án B.Thường'!N$11:N$19950,'4. C.Tiết P.Án B.Thường'!$J$11:$J$19950,'4.4 DS Đ.Tượng T.Ứng'!$F19,'4. C.Tiết P.Án B.Thường'!$K$11:$K$19950,'4.4 DS Đ.Tượng T.Ứng'!$G19,'4. C.Tiết P.Án B.Thường'!$L$11:$L$19950,'4.4 DS Đ.Tượng T.Ứng'!$H19,'4. C.Tiết P.Án B.Thường'!$M$11:$M$19950,'4.4 DS Đ.Tượng T.Ứng'!$I19,'4. C.Tiết P.Án B.Thường'!$B$11:$B$19950,'4.4 DS Đ.Tượng T.Ứng'!$B19,'4. C.Tiết P.Án B.Thường'!$D$11:$D$19950,IF('4.4 DS Đ.Tượng T.Ứng'!$C19=0,"",$C19),'4. C.Tiết P.Án B.Thường'!$F$11:$F$19950,IF('4.4 DS Đ.Tượng T.Ứng'!$D19=0,"",$D19),'4. C.Tiết P.Án B.Thường'!$H$11:$H$19950,IF('4.4 DS Đ.Tượng T.Ứng'!$E19=0,"",$E19))</f>
        <v>0</v>
      </c>
      <c r="K19" s="126">
        <f>SUMIFS('4. C.Tiết P.Án B.Thường'!O$11:O$19950,'4. C.Tiết P.Án B.Thường'!$J$11:$J$19950,'4.4 DS Đ.Tượng T.Ứng'!$F19,'4. C.Tiết P.Án B.Thường'!$K$11:$K$19950,'4.4 DS Đ.Tượng T.Ứng'!$G19,'4. C.Tiết P.Án B.Thường'!$L$11:$L$19950,'4.4 DS Đ.Tượng T.Ứng'!$H19,'4. C.Tiết P.Án B.Thường'!$M$11:$M$19950,'4.4 DS Đ.Tượng T.Ứng'!$I19,'4. C.Tiết P.Án B.Thường'!$B$11:$B$19950,'4.4 DS Đ.Tượng T.Ứng'!$B19,'4. C.Tiết P.Án B.Thường'!$D$11:$D$19950,IF('4.4 DS Đ.Tượng T.Ứng'!$C19=0,"",$C19),'4. C.Tiết P.Án B.Thường'!$F$11:$F$19950,IF('4.4 DS Đ.Tượng T.Ứng'!$D19=0,"",$D19),'4. C.Tiết P.Án B.Thường'!$H$11:$H$19950,IF('4.4 DS Đ.Tượng T.Ứng'!$E19=0,"",$E19))</f>
        <v>0</v>
      </c>
      <c r="L19" s="105">
        <f>SUMIFS('9. Thu, chi PABT'!$T$11:$T$20001,'9. Thu, chi PABT'!$J$11:$J$20001,'4.4 DS Đ.Tượng T.Ứng'!$F19,'9. Thu, chi PABT'!$K$11:$K$20001,'4.4 DS Đ.Tượng T.Ứng'!$G19,'9. Thu, chi PABT'!$L$11:$L$20001,'4.4 DS Đ.Tượng T.Ứng'!$H19,'9. Thu, chi PABT'!$M$11:$M$20001,'4.4 DS Đ.Tượng T.Ứng'!$I19,'9. Thu, chi PABT'!$B$11:$B$20001,'4.4 DS Đ.Tượng T.Ứng'!$B19,'9. Thu, chi PABT'!$B$11:$B$20001,"Tạm ứng",'9. Thu, chi PABT'!$D$11:$D$20001,IF('4.4 DS Đ.Tượng T.Ứng'!$C19=0,"",'4.4 DS Đ.Tượng T.Ứng'!$C19),'9. Thu, chi PABT'!$F$11:$F$20001,IF('4.4 DS Đ.Tượng T.Ứng'!$D19=0,"",'4.4 DS Đ.Tượng T.Ứng'!$D19),'9. Thu, chi PABT'!$H$11:$H$20001,IF('4.4 DS Đ.Tượng T.Ứng'!$E19=0,"",'4.4 DS Đ.Tượng T.Ứng'!$E19))+SUMIFS('9. Thu, chi PABT'!$T$11:$T$20001,'9. Thu, chi PABT'!$J$11:$J$20001,'4.4 DS Đ.Tượng T.Ứng'!$F19,'9. Thu, chi PABT'!$K$11:$K$20001,'4.4 DS Đ.Tượng T.Ứng'!$G19,'9. Thu, chi PABT'!$L$11:$L$20001,'4.4 DS Đ.Tượng T.Ứng'!$H19,'9. Thu, chi PABT'!$M$11:$M$20001,'4.4 DS Đ.Tượng T.Ứng'!$I19,'9. Thu, chi PABT'!$B$11:$B$20001,'4.4 DS Đ.Tượng T.Ứng'!$B19,'9. Thu, chi PABT'!$D$11:$D$20001,"Tạm ứng",'9. Thu, chi PABT'!$D$11:$D$20001,IF('4.4 DS Đ.Tượng T.Ứng'!$C19=0,"",'4.4 DS Đ.Tượng T.Ứng'!$C19),'9. Thu, chi PABT'!$F$11:$F$20001,IF('4.4 DS Đ.Tượng T.Ứng'!$D19=0,"",'4.4 DS Đ.Tượng T.Ứng'!$D19),'9. Thu, chi PABT'!$H$11:$H$20001,IF('4.4 DS Đ.Tượng T.Ứng'!$E19=0,"",'4.4 DS Đ.Tượng T.Ứng'!$E19))</f>
        <v>0</v>
      </c>
      <c r="M19" s="105">
        <f>SUMIFS('9. Thu, chi PABT'!$T$11:$T$20001,'9. Thu, chi PABT'!$J$11:$J$20001,'4.4 DS Đ.Tượng T.Ứng'!$F19,'9. Thu, chi PABT'!$K$11:$K$20001,'4.4 DS Đ.Tượng T.Ứng'!$G19,'9. Thu, chi PABT'!$L$11:$L$20001,'4.4 DS Đ.Tượng T.Ứng'!$H19,'9. Thu, chi PABT'!$M$11:$M$20001,'4.4 DS Đ.Tượng T.Ứng'!$I19,'9. Thu, chi PABT'!$B$11:$B$20001,'4.4 DS Đ.Tượng T.Ứng'!$B19,'9. Thu, chi PABT'!$D$11:$D$20001,IF('4.4 DS Đ.Tượng T.Ứng'!$C19=0,"",'4.4 DS Đ.Tượng T.Ứng'!$C19),'9. Thu, chi PABT'!$F$11:$F$20001,"Tạm ứng",'9. Thu, chi PABT'!$F$11:$F$20001,IF('4.4 DS Đ.Tượng T.Ứng'!$D19=0,"",'4.4 DS Đ.Tượng T.Ứng'!$D19),'9. Thu, chi PABT'!$H$11:$H$20001,IF('4.4 DS Đ.Tượng T.Ứng'!$E19=0,"",'4.4 DS Đ.Tượng T.Ứng'!$E19))+SUMIFS('9. Thu, chi PABT'!$T$11:$T$20001,'9. Thu, chi PABT'!$J$11:$J$20001,'4.4 DS Đ.Tượng T.Ứng'!$F19,'9. Thu, chi PABT'!$K$11:$K$20001,'4.4 DS Đ.Tượng T.Ứng'!$G19,'9. Thu, chi PABT'!$L$11:$L$20001,'4.4 DS Đ.Tượng T.Ứng'!$H19,'9. Thu, chi PABT'!$M$11:$M$20001,'4.4 DS Đ.Tượng T.Ứng'!$I19,'9. Thu, chi PABT'!$B$11:$B$20001,'4.4 DS Đ.Tượng T.Ứng'!$B19,'9. Thu, chi PABT'!$D$11:$D$20001,IF('4.4 DS Đ.Tượng T.Ứng'!$C19=0,"",'4.4 DS Đ.Tượng T.Ứng'!$C19),'9. Thu, chi PABT'!$F$11:$F$20001,IF('4.4 DS Đ.Tượng T.Ứng'!$D19=0,"",'4.4 DS Đ.Tượng T.Ứng'!$D19),'9. Thu, chi PABT'!$H$11:$H$20001,"Tạm ứng",'9. Thu, chi PABT'!$H$11:$H$20001,IF('4.4 DS Đ.Tượng T.Ứng'!$E19=0,"",'4.4 DS Đ.Tượng T.Ứng'!$E19))</f>
        <v>0</v>
      </c>
      <c r="N19" s="135">
        <f t="shared" si="1"/>
        <v>0</v>
      </c>
      <c r="O19" s="135">
        <f t="shared" si="2"/>
        <v>0</v>
      </c>
    </row>
  </sheetData>
  <mergeCells count="9">
    <mergeCell ref="N6:O6"/>
    <mergeCell ref="L6:M6"/>
    <mergeCell ref="A1:F1"/>
    <mergeCell ref="A2:F2"/>
    <mergeCell ref="A6:A7"/>
    <mergeCell ref="F6:I6"/>
    <mergeCell ref="J6:K6"/>
    <mergeCell ref="B6:E6"/>
    <mergeCell ref="A4:O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CC92B-EA22-4493-8DF5-7002110A0925}">
  <sheetPr>
    <tabColor rgb="FFFF0000"/>
  </sheetPr>
  <dimension ref="A1:M16"/>
  <sheetViews>
    <sheetView zoomScale="90" zoomScaleNormal="90" workbookViewId="0">
      <selection activeCell="G21" sqref="G21"/>
    </sheetView>
  </sheetViews>
  <sheetFormatPr defaultColWidth="8.85546875" defaultRowHeight="15" x14ac:dyDescent="0.25"/>
  <cols>
    <col min="1" max="1" width="17.42578125" style="87" customWidth="1"/>
    <col min="2" max="2" width="12" style="87" bestFit="1" customWidth="1"/>
    <col min="3" max="3" width="12.140625" style="89" customWidth="1"/>
    <col min="4" max="4" width="19" style="89" customWidth="1"/>
    <col min="5" max="6" width="14.7109375" style="89" customWidth="1"/>
    <col min="7" max="7" width="13" style="89" customWidth="1"/>
    <col min="8" max="8" width="17.140625" style="127" customWidth="1"/>
    <col min="9" max="9" width="17.140625" style="142" customWidth="1"/>
    <col min="10" max="11" width="14.7109375" style="127" bestFit="1" customWidth="1"/>
    <col min="12" max="12" width="13.7109375" style="107" customWidth="1"/>
    <col min="13" max="13" width="13.5703125" style="89" customWidth="1"/>
    <col min="14" max="14" width="8.85546875" style="87" customWidth="1"/>
    <col min="15" max="16384" width="8.85546875" style="87"/>
  </cols>
  <sheetData>
    <row r="1" spans="1:13" ht="15.75" x14ac:dyDescent="0.25">
      <c r="A1" s="168" t="s">
        <v>9</v>
      </c>
      <c r="B1" s="168"/>
      <c r="C1" s="168"/>
      <c r="D1" s="168"/>
      <c r="E1" s="168"/>
      <c r="F1" s="20"/>
    </row>
    <row r="2" spans="1:13" ht="15.75" x14ac:dyDescent="0.25">
      <c r="A2" s="168" t="s">
        <v>10</v>
      </c>
      <c r="B2" s="168"/>
      <c r="C2" s="168"/>
      <c r="D2" s="168"/>
      <c r="E2" s="168"/>
      <c r="F2" s="20"/>
    </row>
    <row r="3" spans="1:13" ht="15.75" x14ac:dyDescent="0.25">
      <c r="A3" s="2"/>
      <c r="B3" s="2"/>
      <c r="C3" s="1"/>
      <c r="D3" s="20"/>
      <c r="E3" s="1"/>
      <c r="F3" s="20"/>
    </row>
    <row r="4" spans="1:13" ht="15.6" customHeight="1" x14ac:dyDescent="0.25">
      <c r="A4" s="168" t="s">
        <v>227</v>
      </c>
      <c r="B4" s="168"/>
      <c r="C4" s="168"/>
      <c r="D4" s="168"/>
      <c r="E4" s="168"/>
      <c r="F4" s="168"/>
      <c r="G4" s="168"/>
      <c r="H4" s="168"/>
      <c r="I4" s="168"/>
      <c r="J4" s="168"/>
      <c r="K4" s="168"/>
      <c r="L4" s="168"/>
      <c r="M4" s="168"/>
    </row>
    <row r="6" spans="1:13" ht="13.9" customHeight="1" x14ac:dyDescent="0.25">
      <c r="A6" s="192" t="s">
        <v>155</v>
      </c>
      <c r="B6" s="193"/>
      <c r="C6" s="193"/>
      <c r="D6" s="194" t="s">
        <v>40</v>
      </c>
      <c r="E6" s="194"/>
      <c r="F6" s="194"/>
      <c r="G6" s="194"/>
      <c r="H6" s="194" t="s">
        <v>25</v>
      </c>
      <c r="I6" s="194"/>
      <c r="J6" s="194"/>
      <c r="K6" s="194"/>
      <c r="L6" s="194"/>
      <c r="M6" s="194"/>
    </row>
    <row r="7" spans="1:13" ht="42.75" x14ac:dyDescent="0.25">
      <c r="A7" s="108" t="s">
        <v>0</v>
      </c>
      <c r="B7" s="108" t="s">
        <v>166</v>
      </c>
      <c r="C7" s="108" t="s">
        <v>56</v>
      </c>
      <c r="D7" s="4" t="s">
        <v>36</v>
      </c>
      <c r="E7" s="4" t="s">
        <v>133</v>
      </c>
      <c r="F7" s="5" t="s">
        <v>154</v>
      </c>
      <c r="G7" s="5" t="s">
        <v>82</v>
      </c>
      <c r="H7" s="128" t="s">
        <v>156</v>
      </c>
      <c r="I7" s="141" t="s">
        <v>190</v>
      </c>
      <c r="J7" s="128" t="s">
        <v>167</v>
      </c>
      <c r="K7" s="128" t="s">
        <v>139</v>
      </c>
      <c r="L7" s="108" t="s">
        <v>188</v>
      </c>
      <c r="M7" s="108" t="s">
        <v>189</v>
      </c>
    </row>
    <row r="8" spans="1:13" x14ac:dyDescent="0.25">
      <c r="A8" s="108"/>
      <c r="B8" s="108"/>
      <c r="C8" s="108"/>
      <c r="D8" s="172" t="s">
        <v>352</v>
      </c>
      <c r="E8" s="173"/>
      <c r="F8" s="173"/>
      <c r="G8" s="186"/>
      <c r="H8" s="128"/>
      <c r="I8" s="141"/>
      <c r="J8" s="128"/>
      <c r="K8" s="128"/>
      <c r="L8" s="108"/>
      <c r="M8" s="108"/>
    </row>
    <row r="9" spans="1:13" ht="42.75" x14ac:dyDescent="0.25">
      <c r="A9" s="108" t="s">
        <v>356</v>
      </c>
      <c r="B9" s="108" t="s">
        <v>351</v>
      </c>
      <c r="C9" s="108" t="s">
        <v>323</v>
      </c>
      <c r="D9" s="172" t="s">
        <v>362</v>
      </c>
      <c r="E9" s="173"/>
      <c r="F9" s="173"/>
      <c r="G9" s="186"/>
      <c r="H9" s="128"/>
      <c r="I9" s="141" t="s">
        <v>353</v>
      </c>
      <c r="J9" s="128"/>
      <c r="K9" s="128"/>
      <c r="L9" s="108" t="s">
        <v>354</v>
      </c>
      <c r="M9" s="108" t="s">
        <v>355</v>
      </c>
    </row>
    <row r="10" spans="1:13" ht="28.5" x14ac:dyDescent="0.25">
      <c r="A10" s="88">
        <v>1</v>
      </c>
      <c r="B10" s="131">
        <v>45428</v>
      </c>
      <c r="C10" s="86">
        <v>140</v>
      </c>
      <c r="D10" s="86" t="s">
        <v>110</v>
      </c>
      <c r="E10" s="86" t="s">
        <v>152</v>
      </c>
      <c r="F10" s="86" t="s">
        <v>112</v>
      </c>
      <c r="G10" s="86" t="s">
        <v>114</v>
      </c>
      <c r="H10" s="129">
        <f>((SUMIFS('4. C.Tiết P.Án B.Thường'!$N$11:$N$20001,'4. C.Tiết P.Án B.Thường'!$J$11:$J$20001,'5. DS hộ thu hồi PABT'!$D10,'4. C.Tiết P.Án B.Thường'!$K$11:$K$20001,'5. DS hộ thu hồi PABT'!$E10,'4. C.Tiết P.Án B.Thường'!$L$11:$L$20001,'5. DS hộ thu hồi PABT'!$F10,'4. C.Tiết P.Án B.Thường'!$M$11:$M$20001,'5. DS hộ thu hồi PABT'!$G10,'4. C.Tiết P.Án B.Thường'!$B$11:$B$20001,'5. DS hộ thu hồi PABT'!$C10,'4. C.Tiết P.Án B.Thường'!$D$11:$D$20001,"",'4. C.Tiết P.Án B.Thường'!$C$11:$C$20001,"&lt;="&amp;'5. DS hộ thu hồi PABT'!$B10)+SUMIFS('4. C.Tiết P.Án B.Thường'!$N$11:$N$20001,'4. C.Tiết P.Án B.Thường'!$J$11:$J$20001,'5. DS hộ thu hồi PABT'!$D10,'4. C.Tiết P.Án B.Thường'!$K$11:$K$20001,'5. DS hộ thu hồi PABT'!$E10,'4. C.Tiết P.Án B.Thường'!$L$11:$L$20001,'5. DS hộ thu hồi PABT'!$F10,'4. C.Tiết P.Án B.Thường'!$M$11:$M$20001,'5. DS hộ thu hồi PABT'!$G10,'4. C.Tiết P.Án B.Thường'!$B$11:$B$20001,'5. DS hộ thu hồi PABT'!$C10,'4. C.Tiết P.Án B.Thường'!$D$11:$D$20001,"&lt;&gt;"&amp;"Tạm ứng",'4. C.Tiết P.Án B.Thường'!$D$11:$D$20001,"&lt;&gt;"&amp;"",'4. C.Tiết P.Án B.Thường'!$E$11:$E$20001,"&lt;="&amp;'5. DS hộ thu hồi PABT'!$B10))-SUMIFS('9. Thu, chi PABT'!$T$11:$T$20003,'9. Thu, chi PABT'!$J$11:$J$20003,'5. DS hộ thu hồi PABT'!$D10,'9. Thu, chi PABT'!$K$11:$K$20003,'5. DS hộ thu hồi PABT'!$E10,'9. Thu, chi PABT'!$L$11:$L$20003,'5. DS hộ thu hồi PABT'!$F10,'9. Thu, chi PABT'!$M$11:$M$20003,'5. DS hộ thu hồi PABT'!$G10,'9. Thu, chi PABT'!$B$11:$B$20003,'5. DS hộ thu hồi PABT'!$C10,'9. Thu, chi PABT'!$D$11:$D$20003,"&lt;&gt;"&amp;"Tạm ứng",'9. Thu, chi PABT'!$F$11:$F$20003,"",'9. Thu, chi PABT'!$R$11:$R$20003,"&lt;"&amp;'5. DS hộ thu hồi PABT'!$B10))+SUMIFS('9. Thu, chi PABT'!$U$11:$U$20003,'9. Thu, chi PABT'!$J$11:$J$20003,'5. DS hộ thu hồi PABT'!$D10,'9. Thu, chi PABT'!$K$11:$K$20003,'5. DS hộ thu hồi PABT'!$E10,'9. Thu, chi PABT'!$L$11:$L$20003,'5. DS hộ thu hồi PABT'!$F10,'9. Thu, chi PABT'!$M$11:$M$20003,'5. DS hộ thu hồi PABT'!$G10,'9. Thu, chi PABT'!$B$11:$B$20003,'5. DS hộ thu hồi PABT'!$C10,'9. Thu, chi PABT'!$R$11:$R$20003,"&lt;"&amp;'5. DS hộ thu hồi PABT'!$B10)</f>
        <v>-100000000</v>
      </c>
      <c r="I10" s="143">
        <v>40000000</v>
      </c>
      <c r="J10" s="129">
        <f>SUMIFS('9. Thu, chi PABT'!$U$11:$U$20003,'9. Thu, chi PABT'!$J$11:$J$20003,'5. DS hộ thu hồi PABT'!$D10,'9. Thu, chi PABT'!$K$11:$K$20003,'5. DS hộ thu hồi PABT'!$E10,'9. Thu, chi PABT'!$L$11:$L$20003,'5. DS hộ thu hồi PABT'!$F10,'9. Thu, chi PABT'!$M$11:$M$20003,'5. DS hộ thu hồi PABT'!$G10,'9. Thu, chi PABT'!$B$11:$B$20003,'5. DS hộ thu hồi PABT'!$C10,'9. Thu, chi PABT'!$R$11:$R$20003,"="&amp;'5. DS hộ thu hồi PABT'!$B10)</f>
        <v>30000000</v>
      </c>
      <c r="K10" s="130">
        <f>IF(J10&gt;0,H10+J10,H10+I10)</f>
        <v>-70000000</v>
      </c>
      <c r="L10" s="86" t="s">
        <v>157</v>
      </c>
      <c r="M10" s="86" t="str">
        <f t="shared" ref="M10:M16" si="0">IF(L10="","",IF(AND(K10&lt;0,L10="Thu hồi"),"Chưa hoàn thành thu hồi","Hoàn thành thu hồi"))</f>
        <v>Chưa hoàn thành thu hồi</v>
      </c>
    </row>
    <row r="11" spans="1:13" ht="28.5" x14ac:dyDescent="0.25">
      <c r="A11" s="88">
        <v>2</v>
      </c>
      <c r="B11" s="131">
        <v>45432</v>
      </c>
      <c r="C11" s="86">
        <v>140</v>
      </c>
      <c r="D11" s="86" t="s">
        <v>110</v>
      </c>
      <c r="E11" s="86" t="s">
        <v>152</v>
      </c>
      <c r="F11" s="86" t="s">
        <v>112</v>
      </c>
      <c r="G11" s="86" t="s">
        <v>114</v>
      </c>
      <c r="H11" s="129">
        <f>((SUMIFS('4. C.Tiết P.Án B.Thường'!$N$11:$N$20001,'4. C.Tiết P.Án B.Thường'!$J$11:$J$20001,'5. DS hộ thu hồi PABT'!$D11,'4. C.Tiết P.Án B.Thường'!$K$11:$K$20001,'5. DS hộ thu hồi PABT'!$E11,'4. C.Tiết P.Án B.Thường'!$L$11:$L$20001,'5. DS hộ thu hồi PABT'!$F11,'4. C.Tiết P.Án B.Thường'!$M$11:$M$20001,'5. DS hộ thu hồi PABT'!$G11,'4. C.Tiết P.Án B.Thường'!$B$11:$B$20001,'5. DS hộ thu hồi PABT'!$C11,'4. C.Tiết P.Án B.Thường'!$D$11:$D$20001,"",'4. C.Tiết P.Án B.Thường'!$C$11:$C$20001,"&lt;="&amp;'5. DS hộ thu hồi PABT'!$B11)+SUMIFS('4. C.Tiết P.Án B.Thường'!$N$11:$N$20001,'4. C.Tiết P.Án B.Thường'!$J$11:$J$20001,'5. DS hộ thu hồi PABT'!$D11,'4. C.Tiết P.Án B.Thường'!$K$11:$K$20001,'5. DS hộ thu hồi PABT'!$E11,'4. C.Tiết P.Án B.Thường'!$L$11:$L$20001,'5. DS hộ thu hồi PABT'!$F11,'4. C.Tiết P.Án B.Thường'!$M$11:$M$20001,'5. DS hộ thu hồi PABT'!$G11,'4. C.Tiết P.Án B.Thường'!$B$11:$B$20001,'5. DS hộ thu hồi PABT'!$C11,'4. C.Tiết P.Án B.Thường'!$D$11:$D$20001,"&lt;&gt;"&amp;"Tạm ứng",'4. C.Tiết P.Án B.Thường'!$D$11:$D$20001,"&lt;&gt;"&amp;"",'4. C.Tiết P.Án B.Thường'!$E$11:$E$20001,"&lt;="&amp;'5. DS hộ thu hồi PABT'!$B11))-SUMIFS('9. Thu, chi PABT'!$T$11:$T$20003,'9. Thu, chi PABT'!$J$11:$J$20003,'5. DS hộ thu hồi PABT'!$D11,'9. Thu, chi PABT'!$K$11:$K$20003,'5. DS hộ thu hồi PABT'!$E11,'9. Thu, chi PABT'!$L$11:$L$20003,'5. DS hộ thu hồi PABT'!$F11,'9. Thu, chi PABT'!$M$11:$M$20003,'5. DS hộ thu hồi PABT'!$G11,'9. Thu, chi PABT'!$B$11:$B$20003,'5. DS hộ thu hồi PABT'!$C11,'9. Thu, chi PABT'!$D$11:$D$20003,"&lt;&gt;"&amp;"Tạm ứng",'9. Thu, chi PABT'!$F$11:$F$20003,"",'9. Thu, chi PABT'!$R$11:$R$20003,"&lt;"&amp;'5. DS hộ thu hồi PABT'!$B11))+SUMIFS('9. Thu, chi PABT'!$U$11:$U$20003,'9. Thu, chi PABT'!$J$11:$J$20003,'5. DS hộ thu hồi PABT'!$D11,'9. Thu, chi PABT'!$K$11:$K$20003,'5. DS hộ thu hồi PABT'!$E11,'9. Thu, chi PABT'!$L$11:$L$20003,'5. DS hộ thu hồi PABT'!$F11,'9. Thu, chi PABT'!$M$11:$M$20003,'5. DS hộ thu hồi PABT'!$G11,'9. Thu, chi PABT'!$B$11:$B$20003,'5. DS hộ thu hồi PABT'!$C11,'9. Thu, chi PABT'!$R$11:$R$20003,"&lt;"&amp;'5. DS hộ thu hồi PABT'!$B11)</f>
        <v>-70000000</v>
      </c>
      <c r="I11" s="143">
        <v>70000000</v>
      </c>
      <c r="J11" s="129">
        <f>SUMIFS('9. Thu, chi PABT'!$U$11:$U$20003,'9. Thu, chi PABT'!$J$11:$J$20003,'5. DS hộ thu hồi PABT'!$D11,'9. Thu, chi PABT'!$K$11:$K$20003,'5. DS hộ thu hồi PABT'!$E11,'9. Thu, chi PABT'!$L$11:$L$20003,'5. DS hộ thu hồi PABT'!$F11,'9. Thu, chi PABT'!$M$11:$M$20003,'5. DS hộ thu hồi PABT'!$G11,'9. Thu, chi PABT'!$B$11:$B$20003,'5. DS hộ thu hồi PABT'!$C11,'9. Thu, chi PABT'!$R$11:$R$20003,"="&amp;'5. DS hộ thu hồi PABT'!$B11)</f>
        <v>70000000</v>
      </c>
      <c r="K11" s="130">
        <f t="shared" ref="K11:K16" si="1">IF(J11&gt;0,H11+J11,H11+I11)</f>
        <v>0</v>
      </c>
      <c r="L11" s="86" t="s">
        <v>157</v>
      </c>
      <c r="M11" s="86" t="str">
        <f t="shared" si="0"/>
        <v>Hoàn thành thu hồi</v>
      </c>
    </row>
    <row r="12" spans="1:13" x14ac:dyDescent="0.25">
      <c r="A12" s="88">
        <v>3</v>
      </c>
      <c r="B12" s="131"/>
      <c r="C12" s="86"/>
      <c r="D12" s="86"/>
      <c r="E12" s="86"/>
      <c r="F12" s="86"/>
      <c r="G12" s="86"/>
      <c r="H12" s="129">
        <f>((SUMIFS('4. C.Tiết P.Án B.Thường'!$N$11:$N$20001,'4. C.Tiết P.Án B.Thường'!$J$11:$J$20001,'5. DS hộ thu hồi PABT'!$D12,'4. C.Tiết P.Án B.Thường'!$K$11:$K$20001,'5. DS hộ thu hồi PABT'!$E12,'4. C.Tiết P.Án B.Thường'!$L$11:$L$20001,'5. DS hộ thu hồi PABT'!$F12,'4. C.Tiết P.Án B.Thường'!$M$11:$M$20001,'5. DS hộ thu hồi PABT'!$G12,'4. C.Tiết P.Án B.Thường'!$B$11:$B$20001,'5. DS hộ thu hồi PABT'!$C12,'4. C.Tiết P.Án B.Thường'!$D$11:$D$20001,"",'4. C.Tiết P.Án B.Thường'!$C$11:$C$20001,"&lt;="&amp;'5. DS hộ thu hồi PABT'!$B12)+SUMIFS('4. C.Tiết P.Án B.Thường'!$N$11:$N$20001,'4. C.Tiết P.Án B.Thường'!$J$11:$J$20001,'5. DS hộ thu hồi PABT'!$D12,'4. C.Tiết P.Án B.Thường'!$K$11:$K$20001,'5. DS hộ thu hồi PABT'!$E12,'4. C.Tiết P.Án B.Thường'!$L$11:$L$20001,'5. DS hộ thu hồi PABT'!$F12,'4. C.Tiết P.Án B.Thường'!$M$11:$M$20001,'5. DS hộ thu hồi PABT'!$G12,'4. C.Tiết P.Án B.Thường'!$B$11:$B$20001,'5. DS hộ thu hồi PABT'!$C12,'4. C.Tiết P.Án B.Thường'!$D$11:$D$20001,"&lt;&gt;"&amp;"Tạm ứng",'4. C.Tiết P.Án B.Thường'!$D$11:$D$20001,"&lt;&gt;"&amp;"",'4. C.Tiết P.Án B.Thường'!$E$11:$E$20001,"&lt;="&amp;'5. DS hộ thu hồi PABT'!$B12))-SUMIFS('9. Thu, chi PABT'!$T$11:$T$20003,'9. Thu, chi PABT'!$J$11:$J$20003,'5. DS hộ thu hồi PABT'!$D12,'9. Thu, chi PABT'!$K$11:$K$20003,'5. DS hộ thu hồi PABT'!$E12,'9. Thu, chi PABT'!$L$11:$L$20003,'5. DS hộ thu hồi PABT'!$F12,'9. Thu, chi PABT'!$M$11:$M$20003,'5. DS hộ thu hồi PABT'!$G12,'9. Thu, chi PABT'!$B$11:$B$20003,'5. DS hộ thu hồi PABT'!$C12,'9. Thu, chi PABT'!$D$11:$D$20003,"&lt;&gt;"&amp;"Tạm ứng",'9. Thu, chi PABT'!$F$11:$F$20003,"",'9. Thu, chi PABT'!$R$11:$R$20003,"&lt;"&amp;'5. DS hộ thu hồi PABT'!$B12))+SUMIFS('9. Thu, chi PABT'!$U$11:$U$20003,'9. Thu, chi PABT'!$J$11:$J$20003,'5. DS hộ thu hồi PABT'!$D12,'9. Thu, chi PABT'!$K$11:$K$20003,'5. DS hộ thu hồi PABT'!$E12,'9. Thu, chi PABT'!$L$11:$L$20003,'5. DS hộ thu hồi PABT'!$F12,'9. Thu, chi PABT'!$M$11:$M$20003,'5. DS hộ thu hồi PABT'!$G12,'9. Thu, chi PABT'!$B$11:$B$20003,'5. DS hộ thu hồi PABT'!$C12,'9. Thu, chi PABT'!$R$11:$R$20003,"&lt;"&amp;'5. DS hộ thu hồi PABT'!$B12)</f>
        <v>0</v>
      </c>
      <c r="I12" s="143"/>
      <c r="J12" s="129">
        <f>SUMIFS('9. Thu, chi PABT'!$U$11:$U$20003,'9. Thu, chi PABT'!$J$11:$J$20003,'5. DS hộ thu hồi PABT'!$D12,'9. Thu, chi PABT'!$K$11:$K$20003,'5. DS hộ thu hồi PABT'!$E12,'9. Thu, chi PABT'!$L$11:$L$20003,'5. DS hộ thu hồi PABT'!$F12,'9. Thu, chi PABT'!$M$11:$M$20003,'5. DS hộ thu hồi PABT'!$G12,'9. Thu, chi PABT'!$B$11:$B$20003,'5. DS hộ thu hồi PABT'!$C12,'9. Thu, chi PABT'!$R$11:$R$20003,"="&amp;'5. DS hộ thu hồi PABT'!$B12)</f>
        <v>0</v>
      </c>
      <c r="K12" s="130">
        <f t="shared" si="1"/>
        <v>0</v>
      </c>
      <c r="L12" s="86"/>
      <c r="M12" s="86" t="str">
        <f t="shared" si="0"/>
        <v/>
      </c>
    </row>
    <row r="13" spans="1:13" x14ac:dyDescent="0.25">
      <c r="A13" s="88">
        <v>4</v>
      </c>
      <c r="B13" s="88"/>
      <c r="C13" s="86"/>
      <c r="D13" s="86"/>
      <c r="E13" s="86"/>
      <c r="F13" s="86"/>
      <c r="G13" s="86"/>
      <c r="H13" s="129">
        <f>((SUMIFS('4. C.Tiết P.Án B.Thường'!$N$11:$N$20001,'4. C.Tiết P.Án B.Thường'!$J$11:$J$20001,'5. DS hộ thu hồi PABT'!$D13,'4. C.Tiết P.Án B.Thường'!$K$11:$K$20001,'5. DS hộ thu hồi PABT'!$E13,'4. C.Tiết P.Án B.Thường'!$L$11:$L$20001,'5. DS hộ thu hồi PABT'!$F13,'4. C.Tiết P.Án B.Thường'!$M$11:$M$20001,'5. DS hộ thu hồi PABT'!$G13,'4. C.Tiết P.Án B.Thường'!$B$11:$B$20001,'5. DS hộ thu hồi PABT'!$C13,'4. C.Tiết P.Án B.Thường'!$D$11:$D$20001,"",'4. C.Tiết P.Án B.Thường'!$C$11:$C$20001,"&lt;="&amp;'5. DS hộ thu hồi PABT'!$B13)+SUMIFS('4. C.Tiết P.Án B.Thường'!$N$11:$N$20001,'4. C.Tiết P.Án B.Thường'!$J$11:$J$20001,'5. DS hộ thu hồi PABT'!$D13,'4. C.Tiết P.Án B.Thường'!$K$11:$K$20001,'5. DS hộ thu hồi PABT'!$E13,'4. C.Tiết P.Án B.Thường'!$L$11:$L$20001,'5. DS hộ thu hồi PABT'!$F13,'4. C.Tiết P.Án B.Thường'!$M$11:$M$20001,'5. DS hộ thu hồi PABT'!$G13,'4. C.Tiết P.Án B.Thường'!$B$11:$B$20001,'5. DS hộ thu hồi PABT'!$C13,'4. C.Tiết P.Án B.Thường'!$D$11:$D$20001,"&lt;&gt;"&amp;"Tạm ứng",'4. C.Tiết P.Án B.Thường'!$D$11:$D$20001,"&lt;&gt;"&amp;"",'4. C.Tiết P.Án B.Thường'!$E$11:$E$20001,"&lt;="&amp;'5. DS hộ thu hồi PABT'!$B13))-SUMIFS('9. Thu, chi PABT'!$T$11:$T$20003,'9. Thu, chi PABT'!$J$11:$J$20003,'5. DS hộ thu hồi PABT'!$D13,'9. Thu, chi PABT'!$K$11:$K$20003,'5. DS hộ thu hồi PABT'!$E13,'9. Thu, chi PABT'!$L$11:$L$20003,'5. DS hộ thu hồi PABT'!$F13,'9. Thu, chi PABT'!$M$11:$M$20003,'5. DS hộ thu hồi PABT'!$G13,'9. Thu, chi PABT'!$B$11:$B$20003,'5. DS hộ thu hồi PABT'!$C13,'9. Thu, chi PABT'!$D$11:$D$20003,"&lt;&gt;"&amp;"Tạm ứng",'9. Thu, chi PABT'!$F$11:$F$20003,"",'9. Thu, chi PABT'!$R$11:$R$20003,"&lt;"&amp;'5. DS hộ thu hồi PABT'!$B13))+SUMIFS('9. Thu, chi PABT'!$U$11:$U$20003,'9. Thu, chi PABT'!$J$11:$J$20003,'5. DS hộ thu hồi PABT'!$D13,'9. Thu, chi PABT'!$K$11:$K$20003,'5. DS hộ thu hồi PABT'!$E13,'9. Thu, chi PABT'!$L$11:$L$20003,'5. DS hộ thu hồi PABT'!$F13,'9. Thu, chi PABT'!$M$11:$M$20003,'5. DS hộ thu hồi PABT'!$G13,'9. Thu, chi PABT'!$B$11:$B$20003,'5. DS hộ thu hồi PABT'!$C13,'9. Thu, chi PABT'!$R$11:$R$20003,"&lt;"&amp;'5. DS hộ thu hồi PABT'!$B13)</f>
        <v>0</v>
      </c>
      <c r="I13" s="143"/>
      <c r="J13" s="129">
        <f>SUMIFS('9. Thu, chi PABT'!$U$11:$U$20003,'9. Thu, chi PABT'!$J$11:$J$20003,'5. DS hộ thu hồi PABT'!$D13,'9. Thu, chi PABT'!$K$11:$K$20003,'5. DS hộ thu hồi PABT'!$E13,'9. Thu, chi PABT'!$L$11:$L$20003,'5. DS hộ thu hồi PABT'!$F13,'9. Thu, chi PABT'!$M$11:$M$20003,'5. DS hộ thu hồi PABT'!$G13,'9. Thu, chi PABT'!$B$11:$B$20003,'5. DS hộ thu hồi PABT'!$C13,'9. Thu, chi PABT'!$R$11:$R$20003,"="&amp;'5. DS hộ thu hồi PABT'!$B13)</f>
        <v>0</v>
      </c>
      <c r="K13" s="130">
        <f t="shared" si="1"/>
        <v>0</v>
      </c>
      <c r="L13" s="86"/>
      <c r="M13" s="86" t="str">
        <f t="shared" si="0"/>
        <v/>
      </c>
    </row>
    <row r="14" spans="1:13" x14ac:dyDescent="0.25">
      <c r="A14" s="88">
        <v>5</v>
      </c>
      <c r="B14" s="88"/>
      <c r="C14" s="86"/>
      <c r="D14" s="86"/>
      <c r="E14" s="86"/>
      <c r="F14" s="86"/>
      <c r="G14" s="86"/>
      <c r="H14" s="129">
        <f>((SUMIFS('4. C.Tiết P.Án B.Thường'!$N$11:$N$20001,'4. C.Tiết P.Án B.Thường'!$J$11:$J$20001,'5. DS hộ thu hồi PABT'!$D14,'4. C.Tiết P.Án B.Thường'!$K$11:$K$20001,'5. DS hộ thu hồi PABT'!$E14,'4. C.Tiết P.Án B.Thường'!$L$11:$L$20001,'5. DS hộ thu hồi PABT'!$F14,'4. C.Tiết P.Án B.Thường'!$M$11:$M$20001,'5. DS hộ thu hồi PABT'!$G14,'4. C.Tiết P.Án B.Thường'!$B$11:$B$20001,'5. DS hộ thu hồi PABT'!$C14,'4. C.Tiết P.Án B.Thường'!$D$11:$D$20001,"",'4. C.Tiết P.Án B.Thường'!$C$11:$C$20001,"&lt;="&amp;'5. DS hộ thu hồi PABT'!$B14)+SUMIFS('4. C.Tiết P.Án B.Thường'!$N$11:$N$20001,'4. C.Tiết P.Án B.Thường'!$J$11:$J$20001,'5. DS hộ thu hồi PABT'!$D14,'4. C.Tiết P.Án B.Thường'!$K$11:$K$20001,'5. DS hộ thu hồi PABT'!$E14,'4. C.Tiết P.Án B.Thường'!$L$11:$L$20001,'5. DS hộ thu hồi PABT'!$F14,'4. C.Tiết P.Án B.Thường'!$M$11:$M$20001,'5. DS hộ thu hồi PABT'!$G14,'4. C.Tiết P.Án B.Thường'!$B$11:$B$20001,'5. DS hộ thu hồi PABT'!$C14,'4. C.Tiết P.Án B.Thường'!$D$11:$D$20001,"&lt;&gt;"&amp;"Tạm ứng",'4. C.Tiết P.Án B.Thường'!$D$11:$D$20001,"&lt;&gt;"&amp;"",'4. C.Tiết P.Án B.Thường'!$E$11:$E$20001,"&lt;="&amp;'5. DS hộ thu hồi PABT'!$B14))-SUMIFS('9. Thu, chi PABT'!$T$11:$T$20003,'9. Thu, chi PABT'!$J$11:$J$20003,'5. DS hộ thu hồi PABT'!$D14,'9. Thu, chi PABT'!$K$11:$K$20003,'5. DS hộ thu hồi PABT'!$E14,'9. Thu, chi PABT'!$L$11:$L$20003,'5. DS hộ thu hồi PABT'!$F14,'9. Thu, chi PABT'!$M$11:$M$20003,'5. DS hộ thu hồi PABT'!$G14,'9. Thu, chi PABT'!$B$11:$B$20003,'5. DS hộ thu hồi PABT'!$C14,'9. Thu, chi PABT'!$D$11:$D$20003,"&lt;&gt;"&amp;"Tạm ứng",'9. Thu, chi PABT'!$F$11:$F$20003,"",'9. Thu, chi PABT'!$R$11:$R$20003,"&lt;"&amp;'5. DS hộ thu hồi PABT'!$B14))+SUMIFS('9. Thu, chi PABT'!$U$11:$U$20003,'9. Thu, chi PABT'!$J$11:$J$20003,'5. DS hộ thu hồi PABT'!$D14,'9. Thu, chi PABT'!$K$11:$K$20003,'5. DS hộ thu hồi PABT'!$E14,'9. Thu, chi PABT'!$L$11:$L$20003,'5. DS hộ thu hồi PABT'!$F14,'9. Thu, chi PABT'!$M$11:$M$20003,'5. DS hộ thu hồi PABT'!$G14,'9. Thu, chi PABT'!$B$11:$B$20003,'5. DS hộ thu hồi PABT'!$C14,'9. Thu, chi PABT'!$R$11:$R$20003,"&lt;"&amp;'5. DS hộ thu hồi PABT'!$B14)</f>
        <v>0</v>
      </c>
      <c r="I14" s="143"/>
      <c r="J14" s="129">
        <f>SUMIFS('9. Thu, chi PABT'!$U$11:$U$20003,'9. Thu, chi PABT'!$J$11:$J$20003,'5. DS hộ thu hồi PABT'!$D14,'9. Thu, chi PABT'!$K$11:$K$20003,'5. DS hộ thu hồi PABT'!$E14,'9. Thu, chi PABT'!$L$11:$L$20003,'5. DS hộ thu hồi PABT'!$F14,'9. Thu, chi PABT'!$M$11:$M$20003,'5. DS hộ thu hồi PABT'!$G14,'9. Thu, chi PABT'!$B$11:$B$20003,'5. DS hộ thu hồi PABT'!$C14,'9. Thu, chi PABT'!$R$11:$R$20003,"="&amp;'5. DS hộ thu hồi PABT'!$B14)</f>
        <v>0</v>
      </c>
      <c r="K14" s="130">
        <f t="shared" si="1"/>
        <v>0</v>
      </c>
      <c r="L14" s="86"/>
      <c r="M14" s="86" t="str">
        <f t="shared" si="0"/>
        <v/>
      </c>
    </row>
    <row r="15" spans="1:13" x14ac:dyDescent="0.25">
      <c r="A15" s="88">
        <v>6</v>
      </c>
      <c r="B15" s="88"/>
      <c r="C15" s="86"/>
      <c r="D15" s="86"/>
      <c r="E15" s="86"/>
      <c r="F15" s="86"/>
      <c r="G15" s="86"/>
      <c r="H15" s="129">
        <f>((SUMIFS('4. C.Tiết P.Án B.Thường'!$N$11:$N$20001,'4. C.Tiết P.Án B.Thường'!$J$11:$J$20001,'5. DS hộ thu hồi PABT'!$D15,'4. C.Tiết P.Án B.Thường'!$K$11:$K$20001,'5. DS hộ thu hồi PABT'!$E15,'4. C.Tiết P.Án B.Thường'!$L$11:$L$20001,'5. DS hộ thu hồi PABT'!$F15,'4. C.Tiết P.Án B.Thường'!$M$11:$M$20001,'5. DS hộ thu hồi PABT'!$G15,'4. C.Tiết P.Án B.Thường'!$B$11:$B$20001,'5. DS hộ thu hồi PABT'!$C15,'4. C.Tiết P.Án B.Thường'!$D$11:$D$20001,"",'4. C.Tiết P.Án B.Thường'!$C$11:$C$20001,"&lt;="&amp;'5. DS hộ thu hồi PABT'!$B15)+SUMIFS('4. C.Tiết P.Án B.Thường'!$N$11:$N$20001,'4. C.Tiết P.Án B.Thường'!$J$11:$J$20001,'5. DS hộ thu hồi PABT'!$D15,'4. C.Tiết P.Án B.Thường'!$K$11:$K$20001,'5. DS hộ thu hồi PABT'!$E15,'4. C.Tiết P.Án B.Thường'!$L$11:$L$20001,'5. DS hộ thu hồi PABT'!$F15,'4. C.Tiết P.Án B.Thường'!$M$11:$M$20001,'5. DS hộ thu hồi PABT'!$G15,'4. C.Tiết P.Án B.Thường'!$B$11:$B$20001,'5. DS hộ thu hồi PABT'!$C15,'4. C.Tiết P.Án B.Thường'!$D$11:$D$20001,"&lt;&gt;"&amp;"Tạm ứng",'4. C.Tiết P.Án B.Thường'!$D$11:$D$20001,"&lt;&gt;"&amp;"",'4. C.Tiết P.Án B.Thường'!$E$11:$E$20001,"&lt;="&amp;'5. DS hộ thu hồi PABT'!$B15))-SUMIFS('9. Thu, chi PABT'!$T$11:$T$20003,'9. Thu, chi PABT'!$J$11:$J$20003,'5. DS hộ thu hồi PABT'!$D15,'9. Thu, chi PABT'!$K$11:$K$20003,'5. DS hộ thu hồi PABT'!$E15,'9. Thu, chi PABT'!$L$11:$L$20003,'5. DS hộ thu hồi PABT'!$F15,'9. Thu, chi PABT'!$M$11:$M$20003,'5. DS hộ thu hồi PABT'!$G15,'9. Thu, chi PABT'!$B$11:$B$20003,'5. DS hộ thu hồi PABT'!$C15,'9. Thu, chi PABT'!$D$11:$D$20003,"&lt;&gt;"&amp;"Tạm ứng",'9. Thu, chi PABT'!$F$11:$F$20003,"",'9. Thu, chi PABT'!$R$11:$R$20003,"&lt;"&amp;'5. DS hộ thu hồi PABT'!$B15))+SUMIFS('9. Thu, chi PABT'!$U$11:$U$20003,'9. Thu, chi PABT'!$J$11:$J$20003,'5. DS hộ thu hồi PABT'!$D15,'9. Thu, chi PABT'!$K$11:$K$20003,'5. DS hộ thu hồi PABT'!$E15,'9. Thu, chi PABT'!$L$11:$L$20003,'5. DS hộ thu hồi PABT'!$F15,'9. Thu, chi PABT'!$M$11:$M$20003,'5. DS hộ thu hồi PABT'!$G15,'9. Thu, chi PABT'!$B$11:$B$20003,'5. DS hộ thu hồi PABT'!$C15,'9. Thu, chi PABT'!$R$11:$R$20003,"&lt;"&amp;'5. DS hộ thu hồi PABT'!$B15)</f>
        <v>0</v>
      </c>
      <c r="I15" s="143"/>
      <c r="J15" s="129">
        <f>SUMIFS('9. Thu, chi PABT'!$U$11:$U$20003,'9. Thu, chi PABT'!$J$11:$J$20003,'5. DS hộ thu hồi PABT'!$D15,'9. Thu, chi PABT'!$K$11:$K$20003,'5. DS hộ thu hồi PABT'!$E15,'9. Thu, chi PABT'!$L$11:$L$20003,'5. DS hộ thu hồi PABT'!$F15,'9. Thu, chi PABT'!$M$11:$M$20003,'5. DS hộ thu hồi PABT'!$G15,'9. Thu, chi PABT'!$B$11:$B$20003,'5. DS hộ thu hồi PABT'!$C15,'9. Thu, chi PABT'!$R$11:$R$20003,"="&amp;'5. DS hộ thu hồi PABT'!$B15)</f>
        <v>0</v>
      </c>
      <c r="K15" s="130">
        <f t="shared" si="1"/>
        <v>0</v>
      </c>
      <c r="L15" s="86"/>
      <c r="M15" s="86" t="str">
        <f t="shared" si="0"/>
        <v/>
      </c>
    </row>
    <row r="16" spans="1:13" x14ac:dyDescent="0.25">
      <c r="A16" s="88">
        <v>7</v>
      </c>
      <c r="B16" s="88"/>
      <c r="C16" s="86"/>
      <c r="D16" s="86"/>
      <c r="E16" s="86"/>
      <c r="F16" s="86"/>
      <c r="G16" s="86"/>
      <c r="H16" s="129">
        <f>((SUMIFS('4. C.Tiết P.Án B.Thường'!$N$11:$N$20001,'4. C.Tiết P.Án B.Thường'!$J$11:$J$20001,'5. DS hộ thu hồi PABT'!$D16,'4. C.Tiết P.Án B.Thường'!$K$11:$K$20001,'5. DS hộ thu hồi PABT'!$E16,'4. C.Tiết P.Án B.Thường'!$L$11:$L$20001,'5. DS hộ thu hồi PABT'!$F16,'4. C.Tiết P.Án B.Thường'!$M$11:$M$20001,'5. DS hộ thu hồi PABT'!$G16,'4. C.Tiết P.Án B.Thường'!$B$11:$B$20001,'5. DS hộ thu hồi PABT'!$C16,'4. C.Tiết P.Án B.Thường'!$D$11:$D$20001,"",'4. C.Tiết P.Án B.Thường'!$C$11:$C$20001,"&lt;="&amp;'5. DS hộ thu hồi PABT'!$B16)+SUMIFS('4. C.Tiết P.Án B.Thường'!$N$11:$N$20001,'4. C.Tiết P.Án B.Thường'!$J$11:$J$20001,'5. DS hộ thu hồi PABT'!$D16,'4. C.Tiết P.Án B.Thường'!$K$11:$K$20001,'5. DS hộ thu hồi PABT'!$E16,'4. C.Tiết P.Án B.Thường'!$L$11:$L$20001,'5. DS hộ thu hồi PABT'!$F16,'4. C.Tiết P.Án B.Thường'!$M$11:$M$20001,'5. DS hộ thu hồi PABT'!$G16,'4. C.Tiết P.Án B.Thường'!$B$11:$B$20001,'5. DS hộ thu hồi PABT'!$C16,'4. C.Tiết P.Án B.Thường'!$D$11:$D$20001,"&lt;&gt;"&amp;"Tạm ứng",'4. C.Tiết P.Án B.Thường'!$D$11:$D$20001,"&lt;&gt;"&amp;"",'4. C.Tiết P.Án B.Thường'!$E$11:$E$20001,"&lt;="&amp;'5. DS hộ thu hồi PABT'!$B16))-SUMIFS('9. Thu, chi PABT'!$T$11:$T$20003,'9. Thu, chi PABT'!$J$11:$J$20003,'5. DS hộ thu hồi PABT'!$D16,'9. Thu, chi PABT'!$K$11:$K$20003,'5. DS hộ thu hồi PABT'!$E16,'9. Thu, chi PABT'!$L$11:$L$20003,'5. DS hộ thu hồi PABT'!$F16,'9. Thu, chi PABT'!$M$11:$M$20003,'5. DS hộ thu hồi PABT'!$G16,'9. Thu, chi PABT'!$B$11:$B$20003,'5. DS hộ thu hồi PABT'!$C16,'9. Thu, chi PABT'!$D$11:$D$20003,"&lt;&gt;"&amp;"Tạm ứng",'9. Thu, chi PABT'!$F$11:$F$20003,"",'9. Thu, chi PABT'!$R$11:$R$20003,"&lt;"&amp;'5. DS hộ thu hồi PABT'!$B16))+SUMIFS('9. Thu, chi PABT'!$U$11:$U$20003,'9. Thu, chi PABT'!$J$11:$J$20003,'5. DS hộ thu hồi PABT'!$D16,'9. Thu, chi PABT'!$K$11:$K$20003,'5. DS hộ thu hồi PABT'!$E16,'9. Thu, chi PABT'!$L$11:$L$20003,'5. DS hộ thu hồi PABT'!$F16,'9. Thu, chi PABT'!$M$11:$M$20003,'5. DS hộ thu hồi PABT'!$G16,'9. Thu, chi PABT'!$B$11:$B$20003,'5. DS hộ thu hồi PABT'!$C16,'9. Thu, chi PABT'!$R$11:$R$20003,"&lt;"&amp;'5. DS hộ thu hồi PABT'!$B16)</f>
        <v>0</v>
      </c>
      <c r="I16" s="143"/>
      <c r="J16" s="129">
        <f>SUMIFS('9. Thu, chi PABT'!$U$11:$U$20003,'9. Thu, chi PABT'!$J$11:$J$20003,'5. DS hộ thu hồi PABT'!$D16,'9. Thu, chi PABT'!$K$11:$K$20003,'5. DS hộ thu hồi PABT'!$E16,'9. Thu, chi PABT'!$L$11:$L$20003,'5. DS hộ thu hồi PABT'!$F16,'9. Thu, chi PABT'!$M$11:$M$20003,'5. DS hộ thu hồi PABT'!$G16,'9. Thu, chi PABT'!$B$11:$B$20003,'5. DS hộ thu hồi PABT'!$C16,'9. Thu, chi PABT'!$R$11:$R$20003,"="&amp;'5. DS hộ thu hồi PABT'!$B16)</f>
        <v>0</v>
      </c>
      <c r="K16" s="130">
        <f t="shared" si="1"/>
        <v>0</v>
      </c>
      <c r="L16" s="86"/>
      <c r="M16" s="86" t="str">
        <f t="shared" si="0"/>
        <v/>
      </c>
    </row>
  </sheetData>
  <mergeCells count="8">
    <mergeCell ref="D9:G9"/>
    <mergeCell ref="D8:G8"/>
    <mergeCell ref="A6:C6"/>
    <mergeCell ref="A4:M4"/>
    <mergeCell ref="A1:E1"/>
    <mergeCell ref="A2:E2"/>
    <mergeCell ref="D6:G6"/>
    <mergeCell ref="H6:M6"/>
  </mergeCells>
  <dataValidations count="6">
    <dataValidation type="list" allowBlank="1" showInputMessage="1" showErrorMessage="1" sqref="L10:L16" xr:uid="{8418F1AF-B190-4B9E-B48B-68D5F74260DA}">
      <formula1>"Thu hồi, Không thu hồi"</formula1>
    </dataValidation>
    <dataValidation type="list" allowBlank="1" showInputMessage="1" showErrorMessage="1" sqref="C11:C16 C10" xr:uid="{584559FE-B6F3-496F-A1BB-BAA322048B15}">
      <formula1>Số_QĐ_phương_án_bồi_thường_gốc</formula1>
    </dataValidation>
    <dataValidation type="list" allowBlank="1" showInputMessage="1" showErrorMessage="1" sqref="D10:D16" xr:uid="{6117F87C-ACFB-4E25-B170-69E6DFCED5F6}">
      <formula1>DSPHAITHUHOI_Họ_Tên</formula1>
    </dataValidation>
    <dataValidation type="list" allowBlank="1" showInputMessage="1" showErrorMessage="1" sqref="E10:E16" xr:uid="{560ADE0B-2673-40DC-8EE9-D083F3623748}">
      <formula1>DSPHAITHUHOI_Xã_Phường</formula1>
    </dataValidation>
    <dataValidation type="list" allowBlank="1" showInputMessage="1" showErrorMessage="1" sqref="F10:F16" xr:uid="{4EDEC0F3-1E1E-4176-A687-4607A4E2C32D}">
      <formula1>DSPHAITHUHOI_Khu_Thôn</formula1>
    </dataValidation>
    <dataValidation type="list" allowBlank="1" showInputMessage="1" showErrorMessage="1" sqref="G10:G16" xr:uid="{A84C580E-ACB4-4AC1-944D-77DB6DC78733}">
      <formula1>DSPHAITHUHOI_CMT_CCCD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BB7F-69F5-4D20-B558-2A2BF500DA3E}">
  <dimension ref="A1:R19"/>
  <sheetViews>
    <sheetView workbookViewId="0">
      <selection activeCell="K34" sqref="K34"/>
    </sheetView>
  </sheetViews>
  <sheetFormatPr defaultColWidth="8.85546875" defaultRowHeight="12.75" x14ac:dyDescent="0.25"/>
  <cols>
    <col min="1" max="1" width="7.140625" style="16" customWidth="1"/>
    <col min="2" max="2" width="14.28515625" style="16" customWidth="1"/>
    <col min="3" max="3" width="11.85546875" style="16" customWidth="1"/>
    <col min="4" max="4" width="14.28515625" style="16" customWidth="1"/>
    <col min="5" max="5" width="11.85546875" style="16" customWidth="1"/>
    <col min="6" max="6" width="14.28515625" style="16" customWidth="1"/>
    <col min="7" max="7" width="11.85546875" style="17" customWidth="1"/>
    <col min="8" max="8" width="24.42578125" style="16" customWidth="1"/>
    <col min="9" max="9" width="11.7109375" style="16" customWidth="1"/>
    <col min="10" max="10" width="11.140625" style="16" customWidth="1"/>
    <col min="11" max="11" width="14" style="16" customWidth="1"/>
    <col min="12" max="12" width="17.85546875" style="51" bestFit="1" customWidth="1"/>
    <col min="13" max="13" width="15.28515625" style="27" customWidth="1"/>
    <col min="14" max="16384" width="8.85546875" style="16"/>
  </cols>
  <sheetData>
    <row r="1" spans="1:18" ht="15.75" x14ac:dyDescent="0.25">
      <c r="A1" s="168" t="s">
        <v>9</v>
      </c>
      <c r="B1" s="168"/>
      <c r="C1" s="168"/>
      <c r="D1" s="168"/>
      <c r="E1" s="168"/>
      <c r="F1" s="168"/>
      <c r="G1" s="53"/>
      <c r="H1" s="2"/>
      <c r="I1" s="2"/>
      <c r="J1" s="46"/>
      <c r="K1" s="46"/>
      <c r="L1" s="46"/>
      <c r="M1" s="46"/>
      <c r="N1" s="51"/>
      <c r="O1" s="51"/>
      <c r="P1" s="51"/>
      <c r="Q1" s="51"/>
    </row>
    <row r="2" spans="1:18" ht="15.75" x14ac:dyDescent="0.25">
      <c r="A2" s="168" t="s">
        <v>10</v>
      </c>
      <c r="B2" s="168"/>
      <c r="C2" s="168"/>
      <c r="D2" s="168"/>
      <c r="E2" s="168"/>
      <c r="F2" s="168"/>
      <c r="G2" s="53"/>
      <c r="H2" s="2"/>
      <c r="I2" s="2"/>
      <c r="J2" s="46"/>
      <c r="K2" s="46"/>
      <c r="L2" s="46"/>
      <c r="M2" s="46"/>
      <c r="N2" s="51"/>
      <c r="O2" s="51"/>
      <c r="P2" s="51"/>
      <c r="Q2" s="51"/>
    </row>
    <row r="3" spans="1:18" ht="15.75" x14ac:dyDescent="0.25">
      <c r="A3" s="2"/>
      <c r="B3" s="2"/>
      <c r="C3" s="3"/>
      <c r="D3" s="2"/>
      <c r="E3" s="3"/>
      <c r="F3" s="54"/>
      <c r="G3" s="53"/>
      <c r="H3" s="2"/>
      <c r="I3" s="2"/>
      <c r="J3" s="46"/>
      <c r="K3" s="46"/>
      <c r="L3" s="46"/>
      <c r="M3" s="46"/>
      <c r="N3" s="51"/>
      <c r="O3" s="51"/>
      <c r="P3" s="51"/>
      <c r="Q3" s="51"/>
    </row>
    <row r="4" spans="1:18" ht="15.6" customHeight="1" x14ac:dyDescent="0.25">
      <c r="A4" s="171" t="s">
        <v>11</v>
      </c>
      <c r="B4" s="171"/>
      <c r="C4" s="171"/>
      <c r="D4" s="171"/>
      <c r="E4" s="171"/>
      <c r="F4" s="171"/>
      <c r="G4" s="171"/>
      <c r="H4" s="171"/>
      <c r="I4" s="171"/>
      <c r="J4" s="171"/>
      <c r="K4" s="171"/>
      <c r="L4" s="171"/>
      <c r="M4" s="171"/>
      <c r="N4" s="42"/>
      <c r="O4" s="42"/>
      <c r="P4" s="42"/>
      <c r="Q4" s="42"/>
      <c r="R4" s="42"/>
    </row>
    <row r="5" spans="1:18" ht="15.6" customHeight="1" x14ac:dyDescent="0.25">
      <c r="A5" s="168" t="s">
        <v>129</v>
      </c>
      <c r="B5" s="168"/>
      <c r="C5" s="168"/>
      <c r="D5" s="168"/>
      <c r="E5" s="168"/>
      <c r="F5" s="168"/>
      <c r="G5" s="168"/>
      <c r="H5" s="168"/>
      <c r="I5" s="168"/>
      <c r="J5" s="168"/>
      <c r="K5" s="168"/>
      <c r="L5" s="168"/>
      <c r="M5" s="168"/>
      <c r="N5" s="43"/>
      <c r="O5" s="43"/>
      <c r="P5" s="43"/>
      <c r="Q5" s="43"/>
      <c r="R5" s="43"/>
    </row>
    <row r="7" spans="1:18" ht="25.5" x14ac:dyDescent="0.25">
      <c r="A7" s="8" t="s">
        <v>0</v>
      </c>
      <c r="B7" s="8" t="s">
        <v>56</v>
      </c>
      <c r="C7" s="8" t="s">
        <v>1</v>
      </c>
      <c r="D7" s="8" t="s">
        <v>12</v>
      </c>
      <c r="E7" s="8" t="s">
        <v>1</v>
      </c>
      <c r="F7" s="8" t="s">
        <v>126</v>
      </c>
      <c r="G7" s="9" t="s">
        <v>1</v>
      </c>
      <c r="H7" s="4" t="s">
        <v>36</v>
      </c>
      <c r="I7" s="4" t="s">
        <v>37</v>
      </c>
      <c r="J7" s="5" t="s">
        <v>38</v>
      </c>
      <c r="K7" s="5" t="s">
        <v>39</v>
      </c>
      <c r="L7" s="40" t="s">
        <v>127</v>
      </c>
      <c r="M7" s="28" t="s">
        <v>128</v>
      </c>
    </row>
    <row r="8" spans="1:18" x14ac:dyDescent="0.25">
      <c r="A8" s="195" t="s">
        <v>58</v>
      </c>
      <c r="B8" s="196"/>
      <c r="C8" s="196"/>
      <c r="D8" s="196"/>
      <c r="E8" s="196"/>
      <c r="F8" s="196"/>
      <c r="G8" s="196"/>
      <c r="H8" s="196"/>
      <c r="I8" s="196"/>
      <c r="J8" s="196"/>
      <c r="K8" s="197"/>
      <c r="L8" s="38">
        <f>SUBTOTAL(9,L9:L19997)</f>
        <v>0</v>
      </c>
      <c r="M8" s="38" t="e">
        <f>SUBTOTAL(9,M9:M19997)</f>
        <v>#REF!</v>
      </c>
    </row>
    <row r="9" spans="1:18" x14ac:dyDescent="0.25">
      <c r="A9" s="7">
        <v>1</v>
      </c>
      <c r="B9" s="8">
        <v>900</v>
      </c>
      <c r="C9" s="9" t="e">
        <f>IF(B9&lt;&gt;"",INDEX(Table6[N/T/N PABT gốc],MATCH(B9,Table6[Số QĐ bồi thường gốc],0)),"")</f>
        <v>#N/A</v>
      </c>
      <c r="D9" s="8">
        <v>901</v>
      </c>
      <c r="E9" s="9" t="e">
        <f>IF(D9&lt;&gt;"",INDEX(Table7[N/T/N],MATCH(D9,Table7[Số QĐ thu hồi đất gốc],0)),"")</f>
        <v>#N/A</v>
      </c>
      <c r="F9" s="8"/>
      <c r="G9" s="9" t="str">
        <f>IF(F9&lt;&gt;"",INDEX('2.2 QĐ T.Hồi đất Đ.Chỉnh'!$E$7:$E$19999,MATCH(F9,'2.2 QĐ T.Hồi đất Đ.Chỉnh'!$D$7:$D$19999,0)),"")</f>
        <v/>
      </c>
      <c r="H9" s="7" t="s">
        <v>110</v>
      </c>
      <c r="I9" s="7" t="s">
        <v>111</v>
      </c>
      <c r="J9" s="7" t="s">
        <v>112</v>
      </c>
      <c r="K9" s="7">
        <v>145161089</v>
      </c>
      <c r="L9" s="40">
        <f>SUMIFS('4.1 TH P.Án B.Thường'!$L$9:$L$28,'4.1 TH P.Án B.Thường'!$B$9:$B$28,'5. C.Tiết T.Hồi đất'!$B9,'4.1 TH P.Án B.Thường'!$F$9:$F$28,'5. C.Tiết T.Hồi đất'!$H9,'4.1 TH P.Án B.Thường'!$G$9:$G$28,'5. C.Tiết T.Hồi đất'!$I9,'4.1 TH P.Án B.Thường'!$H$9:$H$28,'5. C.Tiết T.Hồi đất'!$J9,'4.1 TH P.Án B.Thường'!$I$9:$I$28,'5. C.Tiết T.Hồi đất'!$K9)</f>
        <v>0</v>
      </c>
      <c r="M9" s="28" t="e">
        <f>SUMIFS('4.1 TH P.Án B.Thường'!#REF!,'4.1 TH P.Án B.Thường'!$B$9:$B$28,'5. C.Tiết T.Hồi đất'!$B9,'4.1 TH P.Án B.Thường'!$F$9:$F$28,'5. C.Tiết T.Hồi đất'!$H9,'4.1 TH P.Án B.Thường'!$G$9:$G$28,'5. C.Tiết T.Hồi đất'!$I9,'4.1 TH P.Án B.Thường'!$H$9:$H$28,'5. C.Tiết T.Hồi đất'!$J9,'4.1 TH P.Án B.Thường'!$I$9:$I$28,'5. C.Tiết T.Hồi đất'!$K9)</f>
        <v>#REF!</v>
      </c>
    </row>
    <row r="10" spans="1:18" x14ac:dyDescent="0.25">
      <c r="A10" s="7">
        <v>2</v>
      </c>
      <c r="B10" s="8">
        <v>900</v>
      </c>
      <c r="C10" s="9" t="e">
        <f>IF(B10&lt;&gt;"",INDEX(Table6[N/T/N PABT gốc],MATCH(B10,Table6[Số QĐ bồi thường gốc],0)),"")</f>
        <v>#N/A</v>
      </c>
      <c r="D10" s="8">
        <v>901</v>
      </c>
      <c r="E10" s="9" t="e">
        <f>IF(D10&lt;&gt;"",INDEX(Table7[N/T/N],MATCH(D10,Table7[Số QĐ thu hồi đất gốc],0)),"")</f>
        <v>#N/A</v>
      </c>
      <c r="F10" s="8"/>
      <c r="G10" s="9" t="str">
        <f>IF(F10&lt;&gt;"",INDEX('2.2 QĐ T.Hồi đất Đ.Chỉnh'!$E$7:$E$19999,MATCH(F10,'2.2 QĐ T.Hồi đất Đ.Chỉnh'!$D$7:$D$19999,0)),"")</f>
        <v/>
      </c>
      <c r="H10" s="7" t="s">
        <v>113</v>
      </c>
      <c r="I10" s="7" t="s">
        <v>123</v>
      </c>
      <c r="J10" s="7" t="s">
        <v>124</v>
      </c>
      <c r="K10" s="7" t="s">
        <v>114</v>
      </c>
      <c r="L10" s="40">
        <f>SUMIFS('4.1 TH P.Án B.Thường'!$L$9:$L$28,'4.1 TH P.Án B.Thường'!$B$9:$B$28,'5. C.Tiết T.Hồi đất'!$B10,'4.1 TH P.Án B.Thường'!$F$9:$F$28,'5. C.Tiết T.Hồi đất'!$H10,'4.1 TH P.Án B.Thường'!$G$9:$G$28,'5. C.Tiết T.Hồi đất'!$I10,'4.1 TH P.Án B.Thường'!$H$9:$H$28,'5. C.Tiết T.Hồi đất'!$J10,'4.1 TH P.Án B.Thường'!$I$9:$I$28,'5. C.Tiết T.Hồi đất'!$K10)</f>
        <v>0</v>
      </c>
      <c r="M10" s="28" t="e">
        <f>SUMIFS('4.1 TH P.Án B.Thường'!#REF!,'4.1 TH P.Án B.Thường'!$B$9:$B$28,'5. C.Tiết T.Hồi đất'!$B10,'4.1 TH P.Án B.Thường'!$F$9:$F$28,'5. C.Tiết T.Hồi đất'!$H10,'4.1 TH P.Án B.Thường'!$G$9:$G$28,'5. C.Tiết T.Hồi đất'!$I10,'4.1 TH P.Án B.Thường'!$H$9:$H$28,'5. C.Tiết T.Hồi đất'!$J10,'4.1 TH P.Án B.Thường'!$I$9:$I$28,'5. C.Tiết T.Hồi đất'!$K10)</f>
        <v>#REF!</v>
      </c>
    </row>
    <row r="11" spans="1:18" x14ac:dyDescent="0.25">
      <c r="A11" s="7">
        <v>3</v>
      </c>
      <c r="B11" s="8">
        <v>904</v>
      </c>
      <c r="C11" s="9" t="e">
        <f>IF(B11&lt;&gt;"",INDEX(Table6[N/T/N PABT gốc],MATCH(B11,Table6[Số QĐ bồi thường gốc],0)),"")</f>
        <v>#N/A</v>
      </c>
      <c r="D11" s="8">
        <v>905</v>
      </c>
      <c r="E11" s="9" t="e">
        <f>IF(D11&lt;&gt;"",INDEX(Table7[N/T/N],MATCH(D11,Table7[Số QĐ thu hồi đất gốc],0)),"")</f>
        <v>#N/A</v>
      </c>
      <c r="F11" s="8"/>
      <c r="G11" s="9" t="str">
        <f>IF(F11&lt;&gt;"",INDEX('2.2 QĐ T.Hồi đất Đ.Chỉnh'!$E$7:$E$19999,MATCH(F11,'2.2 QĐ T.Hồi đất Đ.Chỉnh'!$D$7:$D$19999,0)),"")</f>
        <v/>
      </c>
      <c r="H11" s="7" t="s">
        <v>115</v>
      </c>
      <c r="I11" s="7" t="s">
        <v>116</v>
      </c>
      <c r="J11" s="7" t="s">
        <v>117</v>
      </c>
      <c r="K11" s="7" t="s">
        <v>118</v>
      </c>
      <c r="L11" s="40">
        <f>SUMIFS('4.1 TH P.Án B.Thường'!$L$9:$L$28,'4.1 TH P.Án B.Thường'!$B$9:$B$28,'5. C.Tiết T.Hồi đất'!$B11,'4.1 TH P.Án B.Thường'!$F$9:$F$28,'5. C.Tiết T.Hồi đất'!$H11,'4.1 TH P.Án B.Thường'!$G$9:$G$28,'5. C.Tiết T.Hồi đất'!$I11,'4.1 TH P.Án B.Thường'!$H$9:$H$28,'5. C.Tiết T.Hồi đất'!$J11,'4.1 TH P.Án B.Thường'!$I$9:$I$28,'5. C.Tiết T.Hồi đất'!$K11)</f>
        <v>0</v>
      </c>
      <c r="M11" s="28" t="e">
        <f>SUMIFS('4.1 TH P.Án B.Thường'!#REF!,'4.1 TH P.Án B.Thường'!$B$9:$B$28,'5. C.Tiết T.Hồi đất'!$B11,'4.1 TH P.Án B.Thường'!$F$9:$F$28,'5. C.Tiết T.Hồi đất'!$H11,'4.1 TH P.Án B.Thường'!$G$9:$G$28,'5. C.Tiết T.Hồi đất'!$I11,'4.1 TH P.Án B.Thường'!$H$9:$H$28,'5. C.Tiết T.Hồi đất'!$J11,'4.1 TH P.Án B.Thường'!$I$9:$I$28,'5. C.Tiết T.Hồi đất'!$K11)</f>
        <v>#REF!</v>
      </c>
    </row>
    <row r="12" spans="1:18" x14ac:dyDescent="0.25">
      <c r="A12" s="7">
        <v>4</v>
      </c>
      <c r="B12" s="8">
        <v>906</v>
      </c>
      <c r="C12" s="9" t="e">
        <f>IF(B12&lt;&gt;"",INDEX(Table6[N/T/N PABT gốc],MATCH(B12,Table6[Số QĐ bồi thường gốc],0)),"")</f>
        <v>#N/A</v>
      </c>
      <c r="D12" s="8">
        <v>907</v>
      </c>
      <c r="E12" s="9" t="e">
        <f>IF(D12&lt;&gt;"",INDEX(Table7[N/T/N],MATCH(D12,Table7[Số QĐ thu hồi đất gốc],0)),"")</f>
        <v>#N/A</v>
      </c>
      <c r="F12" s="8"/>
      <c r="G12" s="9" t="str">
        <f>IF(F12&lt;&gt;"",INDEX('2.2 QĐ T.Hồi đất Đ.Chỉnh'!$E$7:$E$19999,MATCH(F12,'2.2 QĐ T.Hồi đất Đ.Chỉnh'!$D$7:$D$19999,0)),"")</f>
        <v/>
      </c>
      <c r="H12" s="7" t="s">
        <v>119</v>
      </c>
      <c r="I12" s="7" t="s">
        <v>111</v>
      </c>
      <c r="J12" s="7" t="s">
        <v>120</v>
      </c>
      <c r="K12" s="7" t="s">
        <v>121</v>
      </c>
      <c r="L12" s="40">
        <f>SUMIFS('4.1 TH P.Án B.Thường'!$L$9:$L$28,'4.1 TH P.Án B.Thường'!$B$9:$B$28,'5. C.Tiết T.Hồi đất'!$B12,'4.1 TH P.Án B.Thường'!$F$9:$F$28,'5. C.Tiết T.Hồi đất'!$H12,'4.1 TH P.Án B.Thường'!$G$9:$G$28,'5. C.Tiết T.Hồi đất'!$I12,'4.1 TH P.Án B.Thường'!$H$9:$H$28,'5. C.Tiết T.Hồi đất'!$J12,'4.1 TH P.Án B.Thường'!$I$9:$I$28,'5. C.Tiết T.Hồi đất'!$K12)</f>
        <v>0</v>
      </c>
      <c r="M12" s="28" t="e">
        <f>SUMIFS('4.1 TH P.Án B.Thường'!#REF!,'4.1 TH P.Án B.Thường'!$B$9:$B$28,'5. C.Tiết T.Hồi đất'!$B12,'4.1 TH P.Án B.Thường'!$F$9:$F$28,'5. C.Tiết T.Hồi đất'!$H12,'4.1 TH P.Án B.Thường'!$G$9:$G$28,'5. C.Tiết T.Hồi đất'!$I12,'4.1 TH P.Án B.Thường'!$H$9:$H$28,'5. C.Tiết T.Hồi đất'!$J12,'4.1 TH P.Án B.Thường'!$I$9:$I$28,'5. C.Tiết T.Hồi đất'!$K12)</f>
        <v>#REF!</v>
      </c>
    </row>
    <row r="13" spans="1:18" x14ac:dyDescent="0.25">
      <c r="A13" s="7">
        <v>5</v>
      </c>
      <c r="B13" s="8">
        <v>908</v>
      </c>
      <c r="C13" s="9" t="e">
        <f>IF(B13&lt;&gt;"",INDEX(Table6[N/T/N PABT gốc],MATCH(B13,Table6[Số QĐ bồi thường gốc],0)),"")</f>
        <v>#N/A</v>
      </c>
      <c r="D13" s="8">
        <v>909</v>
      </c>
      <c r="E13" s="9" t="e">
        <f>IF(D13&lt;&gt;"",INDEX(Table7[N/T/N],MATCH(D13,Table7[Số QĐ thu hồi đất gốc],0)),"")</f>
        <v>#N/A</v>
      </c>
      <c r="F13" s="8"/>
      <c r="G13" s="9" t="str">
        <f>IF(F13&lt;&gt;"",INDEX('2.2 QĐ T.Hồi đất Đ.Chỉnh'!$E$7:$E$19999,MATCH(F13,'2.2 QĐ T.Hồi đất Đ.Chỉnh'!$D$7:$D$19999,0)),"")</f>
        <v/>
      </c>
      <c r="H13" s="7" t="s">
        <v>122</v>
      </c>
      <c r="I13" s="7" t="s">
        <v>123</v>
      </c>
      <c r="J13" s="7" t="s">
        <v>124</v>
      </c>
      <c r="K13" s="7" t="s">
        <v>125</v>
      </c>
      <c r="L13" s="40">
        <f>SUMIFS('4.1 TH P.Án B.Thường'!$L$9:$L$28,'4.1 TH P.Án B.Thường'!$B$9:$B$28,'5. C.Tiết T.Hồi đất'!$B13,'4.1 TH P.Án B.Thường'!$F$9:$F$28,'5. C.Tiết T.Hồi đất'!$H13,'4.1 TH P.Án B.Thường'!$G$9:$G$28,'5. C.Tiết T.Hồi đất'!$I13,'4.1 TH P.Án B.Thường'!$H$9:$H$28,'5. C.Tiết T.Hồi đất'!$J13,'4.1 TH P.Án B.Thường'!$I$9:$I$28,'5. C.Tiết T.Hồi đất'!$K13)</f>
        <v>0</v>
      </c>
      <c r="M13" s="28" t="e">
        <f>SUMIFS('4.1 TH P.Án B.Thường'!#REF!,'4.1 TH P.Án B.Thường'!$B$9:$B$28,'5. C.Tiết T.Hồi đất'!$B13,'4.1 TH P.Án B.Thường'!$F$9:$F$28,'5. C.Tiết T.Hồi đất'!$H13,'4.1 TH P.Án B.Thường'!$G$9:$G$28,'5. C.Tiết T.Hồi đất'!$I13,'4.1 TH P.Án B.Thường'!$H$9:$H$28,'5. C.Tiết T.Hồi đất'!$J13,'4.1 TH P.Án B.Thường'!$I$9:$I$28,'5. C.Tiết T.Hồi đất'!$K13)</f>
        <v>#REF!</v>
      </c>
    </row>
    <row r="14" spans="1:18" x14ac:dyDescent="0.25">
      <c r="A14" s="7">
        <v>6</v>
      </c>
      <c r="B14" s="8"/>
      <c r="C14" s="9" t="str">
        <f>IF(B14&lt;&gt;"",INDEX(Table6[N/T/N PABT gốc],MATCH(B14,Table6[Số QĐ bồi thường gốc],0)),"")</f>
        <v/>
      </c>
      <c r="D14" s="8"/>
      <c r="E14" s="9" t="str">
        <f>IF(D14&lt;&gt;"",INDEX(Table7[N/T/N],MATCH(D14,Table7[Số QĐ thu hồi đất gốc],0)),"")</f>
        <v/>
      </c>
      <c r="F14" s="8"/>
      <c r="G14" s="9" t="str">
        <f>IF(F14&lt;&gt;"",INDEX('2.2 QĐ T.Hồi đất Đ.Chỉnh'!$E$7:$E$19999,MATCH(F14,'2.2 QĐ T.Hồi đất Đ.Chỉnh'!$D$7:$D$19999,0)),"")</f>
        <v/>
      </c>
      <c r="H14" s="7"/>
      <c r="I14" s="7"/>
      <c r="J14" s="7"/>
      <c r="K14" s="7"/>
      <c r="L14" s="40">
        <f>SUMIFS('4.1 TH P.Án B.Thường'!$L$9:$L$28,'4.1 TH P.Án B.Thường'!$B$9:$B$28,'5. C.Tiết T.Hồi đất'!$B14,'4.1 TH P.Án B.Thường'!$F$9:$F$28,'5. C.Tiết T.Hồi đất'!$H14,'4.1 TH P.Án B.Thường'!$G$9:$G$28,'5. C.Tiết T.Hồi đất'!$I14,'4.1 TH P.Án B.Thường'!$H$9:$H$28,'5. C.Tiết T.Hồi đất'!$J14,'4.1 TH P.Án B.Thường'!$I$9:$I$28,'5. C.Tiết T.Hồi đất'!$K14)</f>
        <v>0</v>
      </c>
      <c r="M14" s="28" t="e">
        <f>SUMIFS('4.1 TH P.Án B.Thường'!#REF!,'4.1 TH P.Án B.Thường'!$B$9:$B$28,'5. C.Tiết T.Hồi đất'!$B14,'4.1 TH P.Án B.Thường'!$F$9:$F$28,'5. C.Tiết T.Hồi đất'!$H14,'4.1 TH P.Án B.Thường'!$G$9:$G$28,'5. C.Tiết T.Hồi đất'!$I14,'4.1 TH P.Án B.Thường'!$H$9:$H$28,'5. C.Tiết T.Hồi đất'!$J14,'4.1 TH P.Án B.Thường'!$I$9:$I$28,'5. C.Tiết T.Hồi đất'!$K14)</f>
        <v>#REF!</v>
      </c>
    </row>
    <row r="15" spans="1:18" x14ac:dyDescent="0.25">
      <c r="A15" s="7">
        <v>7</v>
      </c>
      <c r="B15" s="8"/>
      <c r="C15" s="9" t="str">
        <f>IF(B15&lt;&gt;"",INDEX(Table6[N/T/N PABT gốc],MATCH(B15,Table6[Số QĐ bồi thường gốc],0)),"")</f>
        <v/>
      </c>
      <c r="D15" s="8"/>
      <c r="E15" s="9" t="str">
        <f>IF(D15&lt;&gt;"",INDEX(Table7[N/T/N],MATCH(D15,Table7[Số QĐ thu hồi đất gốc],0)),"")</f>
        <v/>
      </c>
      <c r="F15" s="8"/>
      <c r="G15" s="9" t="str">
        <f>IF(F15&lt;&gt;"",INDEX('2.2 QĐ T.Hồi đất Đ.Chỉnh'!$E$7:$E$19999,MATCH(F15,'2.2 QĐ T.Hồi đất Đ.Chỉnh'!$D$7:$D$19999,0)),"")</f>
        <v/>
      </c>
      <c r="H15" s="7"/>
      <c r="I15" s="7"/>
      <c r="J15" s="7"/>
      <c r="K15" s="7"/>
      <c r="L15" s="40">
        <f>SUMIFS('4.1 TH P.Án B.Thường'!$L$9:$L$28,'4.1 TH P.Án B.Thường'!$B$9:$B$28,'5. C.Tiết T.Hồi đất'!$B15,'4.1 TH P.Án B.Thường'!$F$9:$F$28,'5. C.Tiết T.Hồi đất'!$H15,'4.1 TH P.Án B.Thường'!$G$9:$G$28,'5. C.Tiết T.Hồi đất'!$I15,'4.1 TH P.Án B.Thường'!$H$9:$H$28,'5. C.Tiết T.Hồi đất'!$J15,'4.1 TH P.Án B.Thường'!$I$9:$I$28,'5. C.Tiết T.Hồi đất'!$K15)</f>
        <v>0</v>
      </c>
      <c r="M15" s="28" t="e">
        <f>SUMIFS('4.1 TH P.Án B.Thường'!#REF!,'4.1 TH P.Án B.Thường'!$B$9:$B$28,'5. C.Tiết T.Hồi đất'!$B15,'4.1 TH P.Án B.Thường'!$F$9:$F$28,'5. C.Tiết T.Hồi đất'!$H15,'4.1 TH P.Án B.Thường'!$G$9:$G$28,'5. C.Tiết T.Hồi đất'!$I15,'4.1 TH P.Án B.Thường'!$H$9:$H$28,'5. C.Tiết T.Hồi đất'!$J15,'4.1 TH P.Án B.Thường'!$I$9:$I$28,'5. C.Tiết T.Hồi đất'!$K15)</f>
        <v>#REF!</v>
      </c>
    </row>
    <row r="16" spans="1:18" x14ac:dyDescent="0.25">
      <c r="A16" s="7">
        <v>8</v>
      </c>
      <c r="B16" s="8"/>
      <c r="C16" s="9" t="str">
        <f>IF(B16&lt;&gt;"",INDEX(Table6[N/T/N PABT gốc],MATCH(B16,Table6[Số QĐ bồi thường gốc],0)),"")</f>
        <v/>
      </c>
      <c r="D16" s="8"/>
      <c r="E16" s="9" t="str">
        <f>IF(D16&lt;&gt;"",INDEX(Table7[N/T/N],MATCH(D16,Table7[Số QĐ thu hồi đất gốc],0)),"")</f>
        <v/>
      </c>
      <c r="F16" s="8"/>
      <c r="G16" s="9" t="str">
        <f>IF(F16&lt;&gt;"",INDEX('2.2 QĐ T.Hồi đất Đ.Chỉnh'!$E$7:$E$19999,MATCH(F16,'2.2 QĐ T.Hồi đất Đ.Chỉnh'!$D$7:$D$19999,0)),"")</f>
        <v/>
      </c>
      <c r="H16" s="7"/>
      <c r="I16" s="7"/>
      <c r="J16" s="7"/>
      <c r="K16" s="7"/>
      <c r="L16" s="40">
        <f>SUMIFS('4.1 TH P.Án B.Thường'!$L$9:$L$28,'4.1 TH P.Án B.Thường'!$B$9:$B$28,'5. C.Tiết T.Hồi đất'!$B16,'4.1 TH P.Án B.Thường'!$F$9:$F$28,'5. C.Tiết T.Hồi đất'!$H16,'4.1 TH P.Án B.Thường'!$G$9:$G$28,'5. C.Tiết T.Hồi đất'!$I16,'4.1 TH P.Án B.Thường'!$H$9:$H$28,'5. C.Tiết T.Hồi đất'!$J16,'4.1 TH P.Án B.Thường'!$I$9:$I$28,'5. C.Tiết T.Hồi đất'!$K16)</f>
        <v>0</v>
      </c>
      <c r="M16" s="28" t="e">
        <f>SUMIFS('4.1 TH P.Án B.Thường'!#REF!,'4.1 TH P.Án B.Thường'!$B$9:$B$28,'5. C.Tiết T.Hồi đất'!$B16,'4.1 TH P.Án B.Thường'!$F$9:$F$28,'5. C.Tiết T.Hồi đất'!$H16,'4.1 TH P.Án B.Thường'!$G$9:$G$28,'5. C.Tiết T.Hồi đất'!$I16,'4.1 TH P.Án B.Thường'!$H$9:$H$28,'5. C.Tiết T.Hồi đất'!$J16,'4.1 TH P.Án B.Thường'!$I$9:$I$28,'5. C.Tiết T.Hồi đất'!$K16)</f>
        <v>#REF!</v>
      </c>
    </row>
    <row r="17" spans="1:13" x14ac:dyDescent="0.25">
      <c r="A17" s="7">
        <v>9</v>
      </c>
      <c r="B17" s="8"/>
      <c r="C17" s="9" t="str">
        <f>IF(B17&lt;&gt;"",INDEX(Table6[N/T/N PABT gốc],MATCH(B17,Table6[Số QĐ bồi thường gốc],0)),"")</f>
        <v/>
      </c>
      <c r="D17" s="8"/>
      <c r="E17" s="9" t="str">
        <f>IF(D17&lt;&gt;"",INDEX(Table7[N/T/N],MATCH(D17,Table7[Số QĐ thu hồi đất gốc],0)),"")</f>
        <v/>
      </c>
      <c r="F17" s="8"/>
      <c r="G17" s="9" t="str">
        <f>IF(F17&lt;&gt;"",INDEX('2.2 QĐ T.Hồi đất Đ.Chỉnh'!$E$7:$E$19999,MATCH(F17,'2.2 QĐ T.Hồi đất Đ.Chỉnh'!$D$7:$D$19999,0)),"")</f>
        <v/>
      </c>
      <c r="H17" s="7"/>
      <c r="I17" s="7"/>
      <c r="J17" s="7"/>
      <c r="K17" s="7"/>
      <c r="L17" s="40">
        <f>SUMIFS('4.1 TH P.Án B.Thường'!$L$9:$L$28,'4.1 TH P.Án B.Thường'!$B$9:$B$28,'5. C.Tiết T.Hồi đất'!$B17,'4.1 TH P.Án B.Thường'!$F$9:$F$28,'5. C.Tiết T.Hồi đất'!$H17,'4.1 TH P.Án B.Thường'!$G$9:$G$28,'5. C.Tiết T.Hồi đất'!$I17,'4.1 TH P.Án B.Thường'!$H$9:$H$28,'5. C.Tiết T.Hồi đất'!$J17,'4.1 TH P.Án B.Thường'!$I$9:$I$28,'5. C.Tiết T.Hồi đất'!$K17)</f>
        <v>0</v>
      </c>
      <c r="M17" s="28" t="e">
        <f>SUMIFS('4.1 TH P.Án B.Thường'!#REF!,'4.1 TH P.Án B.Thường'!$B$9:$B$28,'5. C.Tiết T.Hồi đất'!$B17,'4.1 TH P.Án B.Thường'!$F$9:$F$28,'5. C.Tiết T.Hồi đất'!$H17,'4.1 TH P.Án B.Thường'!$G$9:$G$28,'5. C.Tiết T.Hồi đất'!$I17,'4.1 TH P.Án B.Thường'!$H$9:$H$28,'5. C.Tiết T.Hồi đất'!$J17,'4.1 TH P.Án B.Thường'!$I$9:$I$28,'5. C.Tiết T.Hồi đất'!$K17)</f>
        <v>#REF!</v>
      </c>
    </row>
    <row r="18" spans="1:13" x14ac:dyDescent="0.25">
      <c r="A18" s="7">
        <v>10</v>
      </c>
      <c r="B18" s="8"/>
      <c r="C18" s="9" t="str">
        <f>IF(B18&lt;&gt;"",INDEX(Table6[N/T/N PABT gốc],MATCH(B18,Table6[Số QĐ bồi thường gốc],0)),"")</f>
        <v/>
      </c>
      <c r="D18" s="8"/>
      <c r="E18" s="9" t="str">
        <f>IF(D18&lt;&gt;"",INDEX(Table7[N/T/N],MATCH(D18,Table7[Số QĐ thu hồi đất gốc],0)),"")</f>
        <v/>
      </c>
      <c r="F18" s="8"/>
      <c r="G18" s="9" t="str">
        <f>IF(F18&lt;&gt;"",INDEX('2.2 QĐ T.Hồi đất Đ.Chỉnh'!$E$7:$E$19999,MATCH(F18,'2.2 QĐ T.Hồi đất Đ.Chỉnh'!$D$7:$D$19999,0)),"")</f>
        <v/>
      </c>
      <c r="H18" s="7"/>
      <c r="I18" s="7"/>
      <c r="J18" s="7"/>
      <c r="K18" s="7"/>
      <c r="L18" s="40">
        <f>SUMIFS('4.1 TH P.Án B.Thường'!$L$9:$L$28,'4.1 TH P.Án B.Thường'!$B$9:$B$28,'5. C.Tiết T.Hồi đất'!$B18,'4.1 TH P.Án B.Thường'!$F$9:$F$28,'5. C.Tiết T.Hồi đất'!$H18,'4.1 TH P.Án B.Thường'!$G$9:$G$28,'5. C.Tiết T.Hồi đất'!$I18,'4.1 TH P.Án B.Thường'!$H$9:$H$28,'5. C.Tiết T.Hồi đất'!$J18,'4.1 TH P.Án B.Thường'!$I$9:$I$28,'5. C.Tiết T.Hồi đất'!$K18)</f>
        <v>0</v>
      </c>
      <c r="M18" s="28" t="e">
        <f>SUMIFS('4.1 TH P.Án B.Thường'!#REF!,'4.1 TH P.Án B.Thường'!$B$9:$B$28,'5. C.Tiết T.Hồi đất'!$B18,'4.1 TH P.Án B.Thường'!$F$9:$F$28,'5. C.Tiết T.Hồi đất'!$H18,'4.1 TH P.Án B.Thường'!$G$9:$G$28,'5. C.Tiết T.Hồi đất'!$I18,'4.1 TH P.Án B.Thường'!$H$9:$H$28,'5. C.Tiết T.Hồi đất'!$J18,'4.1 TH P.Án B.Thường'!$I$9:$I$28,'5. C.Tiết T.Hồi đất'!$K18)</f>
        <v>#REF!</v>
      </c>
    </row>
    <row r="19" spans="1:13" x14ac:dyDescent="0.25">
      <c r="A19" s="7">
        <v>11</v>
      </c>
      <c r="B19" s="8"/>
      <c r="C19" s="9" t="str">
        <f>IF(B19&lt;&gt;"",INDEX(Table6[N/T/N PABT gốc],MATCH(B19,Table6[Số QĐ bồi thường gốc],0)),"")</f>
        <v/>
      </c>
      <c r="D19" s="8"/>
      <c r="E19" s="9" t="str">
        <f>IF(D19&lt;&gt;"",INDEX(Table7[N/T/N],MATCH(D19,Table7[Số QĐ thu hồi đất gốc],0)),"")</f>
        <v/>
      </c>
      <c r="F19" s="8"/>
      <c r="G19" s="9" t="str">
        <f>IF(F19&lt;&gt;"",INDEX('2.2 QĐ T.Hồi đất Đ.Chỉnh'!$E$7:$E$19999,MATCH(F19,'2.2 QĐ T.Hồi đất Đ.Chỉnh'!$D$7:$D$19999,0)),"")</f>
        <v/>
      </c>
      <c r="H19" s="7"/>
      <c r="I19" s="7"/>
      <c r="J19" s="7"/>
      <c r="K19" s="7"/>
      <c r="L19" s="40">
        <f>SUMIFS('4.1 TH P.Án B.Thường'!$L$9:$L$28,'4.1 TH P.Án B.Thường'!$B$9:$B$28,'5. C.Tiết T.Hồi đất'!$B19,'4.1 TH P.Án B.Thường'!$F$9:$F$28,'5. C.Tiết T.Hồi đất'!$H19,'4.1 TH P.Án B.Thường'!$G$9:$G$28,'5. C.Tiết T.Hồi đất'!$I19,'4.1 TH P.Án B.Thường'!$H$9:$H$28,'5. C.Tiết T.Hồi đất'!$J19,'4.1 TH P.Án B.Thường'!$I$9:$I$28,'5. C.Tiết T.Hồi đất'!$K19)</f>
        <v>0</v>
      </c>
      <c r="M19" s="28" t="e">
        <f>SUMIFS('4.1 TH P.Án B.Thường'!#REF!,'4.1 TH P.Án B.Thường'!$B$9:$B$28,'5. C.Tiết T.Hồi đất'!$B19,'4.1 TH P.Án B.Thường'!$F$9:$F$28,'5. C.Tiết T.Hồi đất'!$H19,'4.1 TH P.Án B.Thường'!$G$9:$G$28,'5. C.Tiết T.Hồi đất'!$I19,'4.1 TH P.Án B.Thường'!$H$9:$H$28,'5. C.Tiết T.Hồi đất'!$J19,'4.1 TH P.Án B.Thường'!$I$9:$I$28,'5. C.Tiết T.Hồi đất'!$K19)</f>
        <v>#REF!</v>
      </c>
    </row>
  </sheetData>
  <mergeCells count="5">
    <mergeCell ref="A8:K8"/>
    <mergeCell ref="A1:F1"/>
    <mergeCell ref="A2:F2"/>
    <mergeCell ref="A4:M4"/>
    <mergeCell ref="A5:M5"/>
  </mergeCells>
  <dataValidations count="3">
    <dataValidation type="list" allowBlank="1" showInputMessage="1" showErrorMessage="1" sqref="B9:B19" xr:uid="{FBCA4D09-614F-40AF-8D1B-05FAD91FC138}">
      <formula1>Số_QĐ_phương_án_bồi_thường_gốc</formula1>
    </dataValidation>
    <dataValidation type="list" allowBlank="1" showInputMessage="1" showErrorMessage="1" sqref="D9:D19" xr:uid="{E007534E-0ADA-4A09-A79C-526ABA1A4306}">
      <formula1>CTTHĐ_QĐTHUHỒIĐẤTGỐC</formula1>
    </dataValidation>
    <dataValidation type="list" allowBlank="1" showInputMessage="1" showErrorMessage="1" sqref="F9:F19" xr:uid="{50EE5D68-0CEF-4336-9633-304C27590A83}">
      <formula1>CTTHĐ_QĐTHUHỒIĐẤT_điều_chỉnh</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43A3-AF3E-41B9-8567-AB21BF37DB1B}">
  <dimension ref="A1:I24"/>
  <sheetViews>
    <sheetView workbookViewId="0">
      <selection activeCell="I24" sqref="I24"/>
    </sheetView>
  </sheetViews>
  <sheetFormatPr defaultColWidth="8.85546875" defaultRowHeight="12.75" x14ac:dyDescent="0.25"/>
  <cols>
    <col min="1" max="1" width="7.140625" style="13" customWidth="1"/>
    <col min="2" max="2" width="14.28515625" style="13" customWidth="1"/>
    <col min="3" max="3" width="11.85546875" style="26" customWidth="1"/>
    <col min="4" max="4" width="24.42578125" style="13" customWidth="1"/>
    <col min="5" max="5" width="11.7109375" style="13" customWidth="1"/>
    <col min="6" max="6" width="11.140625" style="13" customWidth="1"/>
    <col min="7" max="7" width="14" style="13" customWidth="1"/>
    <col min="8" max="8" width="17.85546875" style="50" bestFit="1" customWidth="1"/>
    <col min="9" max="9" width="15.28515625" style="23" customWidth="1"/>
    <col min="10" max="16384" width="8.85546875" style="16"/>
  </cols>
  <sheetData>
    <row r="1" spans="1:9" ht="15.6" customHeight="1" x14ac:dyDescent="0.25">
      <c r="A1" s="168" t="s">
        <v>9</v>
      </c>
      <c r="B1" s="168"/>
      <c r="C1" s="168"/>
      <c r="D1" s="168"/>
      <c r="E1" s="1"/>
      <c r="F1" s="44"/>
      <c r="G1" s="44"/>
      <c r="H1" s="44"/>
      <c r="I1" s="25"/>
    </row>
    <row r="2" spans="1:9" ht="15.6" customHeight="1" x14ac:dyDescent="0.25">
      <c r="A2" s="168" t="s">
        <v>10</v>
      </c>
      <c r="B2" s="168"/>
      <c r="C2" s="168"/>
      <c r="D2" s="168"/>
      <c r="E2" s="1"/>
      <c r="F2" s="44"/>
      <c r="G2" s="44"/>
      <c r="H2" s="44"/>
      <c r="I2" s="25"/>
    </row>
    <row r="3" spans="1:9" ht="15.75" x14ac:dyDescent="0.25">
      <c r="A3" s="2"/>
      <c r="B3" s="2"/>
      <c r="C3" s="3"/>
      <c r="D3" s="2"/>
      <c r="E3" s="2"/>
      <c r="F3" s="46"/>
      <c r="G3" s="46"/>
      <c r="H3" s="46"/>
      <c r="I3" s="24"/>
    </row>
    <row r="4" spans="1:9" ht="15.75" x14ac:dyDescent="0.25">
      <c r="A4" s="171" t="s">
        <v>11</v>
      </c>
      <c r="B4" s="171"/>
      <c r="C4" s="171"/>
      <c r="D4" s="171"/>
      <c r="E4" s="171"/>
      <c r="F4" s="171"/>
      <c r="G4" s="171"/>
      <c r="H4" s="171"/>
      <c r="I4" s="171"/>
    </row>
    <row r="5" spans="1:9" ht="15.75" x14ac:dyDescent="0.25">
      <c r="A5" s="168" t="s">
        <v>130</v>
      </c>
      <c r="B5" s="168"/>
      <c r="C5" s="168"/>
      <c r="D5" s="168"/>
      <c r="E5" s="168"/>
      <c r="F5" s="168"/>
      <c r="G5" s="168"/>
      <c r="H5" s="168"/>
      <c r="I5" s="168"/>
    </row>
    <row r="6" spans="1:9" x14ac:dyDescent="0.25">
      <c r="A6" s="16"/>
      <c r="B6" s="16"/>
      <c r="C6" s="17"/>
      <c r="D6" s="16"/>
      <c r="E6" s="16"/>
      <c r="F6" s="16"/>
      <c r="G6" s="16"/>
      <c r="H6" s="51"/>
      <c r="I6" s="27"/>
    </row>
    <row r="7" spans="1:9" ht="25.5" x14ac:dyDescent="0.25">
      <c r="A7" s="8" t="s">
        <v>0</v>
      </c>
      <c r="B7" s="8" t="s">
        <v>12</v>
      </c>
      <c r="C7" s="9" t="s">
        <v>1</v>
      </c>
      <c r="D7" s="4" t="s">
        <v>36</v>
      </c>
      <c r="E7" s="4" t="s">
        <v>37</v>
      </c>
      <c r="F7" s="5" t="s">
        <v>38</v>
      </c>
      <c r="G7" s="5" t="s">
        <v>39</v>
      </c>
      <c r="H7" s="40" t="s">
        <v>127</v>
      </c>
      <c r="I7" s="28" t="s">
        <v>128</v>
      </c>
    </row>
    <row r="8" spans="1:9" x14ac:dyDescent="0.25">
      <c r="A8" s="195" t="s">
        <v>58</v>
      </c>
      <c r="B8" s="196"/>
      <c r="C8" s="196"/>
      <c r="D8" s="196"/>
      <c r="E8" s="196"/>
      <c r="F8" s="196"/>
      <c r="G8" s="197"/>
      <c r="H8" s="38">
        <f>SUBTOTAL(9,H9:H20000)</f>
        <v>0</v>
      </c>
      <c r="I8" s="11" t="e">
        <f>SUBTOTAL(9,I9:I20000)</f>
        <v>#REF!</v>
      </c>
    </row>
    <row r="9" spans="1:9" x14ac:dyDescent="0.25">
      <c r="A9" s="7">
        <v>1</v>
      </c>
      <c r="B9" s="8" cm="1">
        <f t="array" ref="B9:G15">_xlfn.UNIQUE(_xlfn.HSTACK('5. C.Tiết T.Hồi đất'!$D$9:$E$20000,'5. C.Tiết T.Hồi đất'!$H$9:$K$20000))</f>
        <v>901</v>
      </c>
      <c r="C9" s="9" t="e">
        <v>#N/A</v>
      </c>
      <c r="D9" s="8" t="str">
        <v>Nguyễn Đức Anh</v>
      </c>
      <c r="E9" s="8" t="str">
        <v>Tiên cát</v>
      </c>
      <c r="F9" s="8" t="str">
        <v>Minh Hà</v>
      </c>
      <c r="G9" s="8">
        <v>145161089</v>
      </c>
      <c r="H9" s="40">
        <f>SUMIFS('5. C.Tiết T.Hồi đất'!$L$9:$L$20000,'5. C.Tiết T.Hồi đất'!$D$9:$D$20000,'5.1 TH T.Hồi đất'!$B9,'5. C.Tiết T.Hồi đất'!$H$9:$H$20000,'5.1 TH T.Hồi đất'!$D9,'5. C.Tiết T.Hồi đất'!$I$9:$I$20000,'5.1 TH T.Hồi đất'!$E9,'5. C.Tiết T.Hồi đất'!$J$9:$J$20000,'5.1 TH T.Hồi đất'!$F9,'5. C.Tiết T.Hồi đất'!$K$9:$K$20000,'5.1 TH T.Hồi đất'!$G9)</f>
        <v>0</v>
      </c>
      <c r="I9" s="28" t="e">
        <f>SUMIFS('5. C.Tiết T.Hồi đất'!$M$9:$M$20000,'5. C.Tiết T.Hồi đất'!$D$9:$D$20000,'5.1 TH T.Hồi đất'!$B9,'5. C.Tiết T.Hồi đất'!$H$9:$H$20000,'5.1 TH T.Hồi đất'!$D9,'5. C.Tiết T.Hồi đất'!$I$9:$I$20000,'5.1 TH T.Hồi đất'!$E9,'5. C.Tiết T.Hồi đất'!$J$9:$J$20000,'5.1 TH T.Hồi đất'!$F9,'5. C.Tiết T.Hồi đất'!$K$9:$K$20000,'5.1 TH T.Hồi đất'!$G9)</f>
        <v>#REF!</v>
      </c>
    </row>
    <row r="10" spans="1:9" x14ac:dyDescent="0.25">
      <c r="A10" s="7">
        <v>2</v>
      </c>
      <c r="B10" s="8">
        <v>901</v>
      </c>
      <c r="C10" s="9" t="e">
        <v>#N/A</v>
      </c>
      <c r="D10" s="8" t="str">
        <v>Hoàng Văn Quân</v>
      </c>
      <c r="E10" s="8" t="str">
        <v>Dữu Lâu</v>
      </c>
      <c r="F10" s="8" t="str">
        <v>Khu 08</v>
      </c>
      <c r="G10" s="8" t="str">
        <v>123A</v>
      </c>
      <c r="H10" s="40">
        <f>SUMIFS('5. C.Tiết T.Hồi đất'!$L$9:$L$20000,'5. C.Tiết T.Hồi đất'!$D$9:$D$20000,'5.1 TH T.Hồi đất'!$B10,'5. C.Tiết T.Hồi đất'!$H$9:$H$20000,'5.1 TH T.Hồi đất'!$D10,'5. C.Tiết T.Hồi đất'!$I$9:$I$20000,'5.1 TH T.Hồi đất'!$E10,'5. C.Tiết T.Hồi đất'!$J$9:$J$20000,'5.1 TH T.Hồi đất'!$F10,'5. C.Tiết T.Hồi đất'!$K$9:$K$20000,'5.1 TH T.Hồi đất'!$G10)</f>
        <v>0</v>
      </c>
      <c r="I10" s="28" t="e">
        <f>SUMIFS('5. C.Tiết T.Hồi đất'!$M$9:$M$20000,'5. C.Tiết T.Hồi đất'!$D$9:$D$20000,'5.1 TH T.Hồi đất'!$B10,'5. C.Tiết T.Hồi đất'!$H$9:$H$20000,'5.1 TH T.Hồi đất'!$D10,'5. C.Tiết T.Hồi đất'!$I$9:$I$20000,'5.1 TH T.Hồi đất'!$E10,'5. C.Tiết T.Hồi đất'!$J$9:$J$20000,'5.1 TH T.Hồi đất'!$F10,'5. C.Tiết T.Hồi đất'!$K$9:$K$20000,'5.1 TH T.Hồi đất'!$G10)</f>
        <v>#REF!</v>
      </c>
    </row>
    <row r="11" spans="1:9" x14ac:dyDescent="0.25">
      <c r="A11" s="7">
        <v>3</v>
      </c>
      <c r="B11" s="8">
        <v>905</v>
      </c>
      <c r="C11" s="9" t="e">
        <v>#N/A</v>
      </c>
      <c r="D11" s="8" t="str">
        <v>Nguyễn Đức Tiến</v>
      </c>
      <c r="E11" s="8" t="str">
        <v>Minh Nông</v>
      </c>
      <c r="F11" s="8" t="str">
        <v>Khu 01</v>
      </c>
      <c r="G11" s="8" t="str">
        <v>345C</v>
      </c>
      <c r="H11" s="40">
        <f>SUMIFS('5. C.Tiết T.Hồi đất'!$L$9:$L$20000,'5. C.Tiết T.Hồi đất'!$D$9:$D$20000,'5.1 TH T.Hồi đất'!$B11,'5. C.Tiết T.Hồi đất'!$H$9:$H$20000,'5.1 TH T.Hồi đất'!$D11,'5. C.Tiết T.Hồi đất'!$I$9:$I$20000,'5.1 TH T.Hồi đất'!$E11,'5. C.Tiết T.Hồi đất'!$J$9:$J$20000,'5.1 TH T.Hồi đất'!$F11,'5. C.Tiết T.Hồi đất'!$K$9:$K$20000,'5.1 TH T.Hồi đất'!$G11)</f>
        <v>0</v>
      </c>
      <c r="I11" s="28" t="e">
        <f>SUMIFS('5. C.Tiết T.Hồi đất'!$M$9:$M$20000,'5. C.Tiết T.Hồi đất'!$D$9:$D$20000,'5.1 TH T.Hồi đất'!$B11,'5. C.Tiết T.Hồi đất'!$H$9:$H$20000,'5.1 TH T.Hồi đất'!$D11,'5. C.Tiết T.Hồi đất'!$I$9:$I$20000,'5.1 TH T.Hồi đất'!$E11,'5. C.Tiết T.Hồi đất'!$J$9:$J$20000,'5.1 TH T.Hồi đất'!$F11,'5. C.Tiết T.Hồi đất'!$K$9:$K$20000,'5.1 TH T.Hồi đất'!$G11)</f>
        <v>#REF!</v>
      </c>
    </row>
    <row r="12" spans="1:9" x14ac:dyDescent="0.25">
      <c r="A12" s="7">
        <v>4</v>
      </c>
      <c r="B12" s="8">
        <v>907</v>
      </c>
      <c r="C12" s="9" t="e">
        <v>#N/A</v>
      </c>
      <c r="D12" s="8" t="str">
        <v>Nguyễn Đức Tú</v>
      </c>
      <c r="E12" s="8" t="str">
        <v>Tiên cát</v>
      </c>
      <c r="F12" s="8" t="str">
        <v>Khu 10</v>
      </c>
      <c r="G12" s="8" t="str">
        <v>456D</v>
      </c>
      <c r="H12" s="40">
        <f>SUMIFS('5. C.Tiết T.Hồi đất'!$L$9:$L$20000,'5. C.Tiết T.Hồi đất'!$D$9:$D$20000,'5.1 TH T.Hồi đất'!$B12,'5. C.Tiết T.Hồi đất'!$H$9:$H$20000,'5.1 TH T.Hồi đất'!$D12,'5. C.Tiết T.Hồi đất'!$I$9:$I$20000,'5.1 TH T.Hồi đất'!$E12,'5. C.Tiết T.Hồi đất'!$J$9:$J$20000,'5.1 TH T.Hồi đất'!$F12,'5. C.Tiết T.Hồi đất'!$K$9:$K$20000,'5.1 TH T.Hồi đất'!$G12)</f>
        <v>0</v>
      </c>
      <c r="I12" s="28" t="e">
        <f>SUMIFS('5. C.Tiết T.Hồi đất'!$M$9:$M$20000,'5. C.Tiết T.Hồi đất'!$D$9:$D$20000,'5.1 TH T.Hồi đất'!$B12,'5. C.Tiết T.Hồi đất'!$H$9:$H$20000,'5.1 TH T.Hồi đất'!$D12,'5. C.Tiết T.Hồi đất'!$I$9:$I$20000,'5.1 TH T.Hồi đất'!$E12,'5. C.Tiết T.Hồi đất'!$J$9:$J$20000,'5.1 TH T.Hồi đất'!$F12,'5. C.Tiết T.Hồi đất'!$K$9:$K$20000,'5.1 TH T.Hồi đất'!$G12)</f>
        <v>#REF!</v>
      </c>
    </row>
    <row r="13" spans="1:9" x14ac:dyDescent="0.25">
      <c r="A13" s="7">
        <v>5</v>
      </c>
      <c r="B13" s="8">
        <v>909</v>
      </c>
      <c r="C13" s="9" t="e">
        <v>#N/A</v>
      </c>
      <c r="D13" s="8" t="str">
        <v>Nguyễn Thị Hiền</v>
      </c>
      <c r="E13" s="8" t="str">
        <v>Dữu Lâu</v>
      </c>
      <c r="F13" s="8" t="str">
        <v>Khu 08</v>
      </c>
      <c r="G13" s="8" t="str">
        <v>678E</v>
      </c>
      <c r="H13" s="40">
        <f>SUMIFS('5. C.Tiết T.Hồi đất'!$L$9:$L$20000,'5. C.Tiết T.Hồi đất'!$D$9:$D$20000,'5.1 TH T.Hồi đất'!$B13,'5. C.Tiết T.Hồi đất'!$H$9:$H$20000,'5.1 TH T.Hồi đất'!$D13,'5. C.Tiết T.Hồi đất'!$I$9:$I$20000,'5.1 TH T.Hồi đất'!$E13,'5. C.Tiết T.Hồi đất'!$J$9:$J$20000,'5.1 TH T.Hồi đất'!$F13,'5. C.Tiết T.Hồi đất'!$K$9:$K$20000,'5.1 TH T.Hồi đất'!$G13)</f>
        <v>0</v>
      </c>
      <c r="I13" s="28" t="e">
        <f>SUMIFS('5. C.Tiết T.Hồi đất'!$M$9:$M$20000,'5. C.Tiết T.Hồi đất'!$D$9:$D$20000,'5.1 TH T.Hồi đất'!$B13,'5. C.Tiết T.Hồi đất'!$H$9:$H$20000,'5.1 TH T.Hồi đất'!$D13,'5. C.Tiết T.Hồi đất'!$I$9:$I$20000,'5.1 TH T.Hồi đất'!$E13,'5. C.Tiết T.Hồi đất'!$J$9:$J$20000,'5.1 TH T.Hồi đất'!$F13,'5. C.Tiết T.Hồi đất'!$K$9:$K$20000,'5.1 TH T.Hồi đất'!$G13)</f>
        <v>#REF!</v>
      </c>
    </row>
    <row r="14" spans="1:9" x14ac:dyDescent="0.25">
      <c r="A14" s="7">
        <v>6</v>
      </c>
      <c r="B14" s="8">
        <v>0</v>
      </c>
      <c r="C14" s="9" t="str">
        <v/>
      </c>
      <c r="D14" s="8">
        <v>0</v>
      </c>
      <c r="E14" s="8">
        <v>0</v>
      </c>
      <c r="F14" s="8">
        <v>0</v>
      </c>
      <c r="G14" s="8">
        <v>0</v>
      </c>
      <c r="H14" s="40">
        <f>SUMIFS('5. C.Tiết T.Hồi đất'!$L$9:$L$20000,'5. C.Tiết T.Hồi đất'!$D$9:$D$20000,'5.1 TH T.Hồi đất'!$B14,'5. C.Tiết T.Hồi đất'!$H$9:$H$20000,'5.1 TH T.Hồi đất'!$D14,'5. C.Tiết T.Hồi đất'!$I$9:$I$20000,'5.1 TH T.Hồi đất'!$E14,'5. C.Tiết T.Hồi đất'!$J$9:$J$20000,'5.1 TH T.Hồi đất'!$F14,'5. C.Tiết T.Hồi đất'!$K$9:$K$20000,'5.1 TH T.Hồi đất'!$G14)</f>
        <v>0</v>
      </c>
      <c r="I14" s="28">
        <f>SUMIFS('5. C.Tiết T.Hồi đất'!$M$9:$M$20000,'5. C.Tiết T.Hồi đất'!$D$9:$D$20000,'5.1 TH T.Hồi đất'!$B14,'5. C.Tiết T.Hồi đất'!$H$9:$H$20000,'5.1 TH T.Hồi đất'!$D14,'5. C.Tiết T.Hồi đất'!$I$9:$I$20000,'5.1 TH T.Hồi đất'!$E14,'5. C.Tiết T.Hồi đất'!$J$9:$J$20000,'5.1 TH T.Hồi đất'!$F14,'5. C.Tiết T.Hồi đất'!$K$9:$K$20000,'5.1 TH T.Hồi đất'!$G14)</f>
        <v>0</v>
      </c>
    </row>
    <row r="15" spans="1:9" x14ac:dyDescent="0.25">
      <c r="A15" s="7">
        <v>7</v>
      </c>
      <c r="B15" s="8">
        <v>0</v>
      </c>
      <c r="C15" s="9">
        <v>0</v>
      </c>
      <c r="D15" s="8">
        <v>0</v>
      </c>
      <c r="E15" s="8">
        <v>0</v>
      </c>
      <c r="F15" s="8">
        <v>0</v>
      </c>
      <c r="G15" s="8">
        <v>0</v>
      </c>
      <c r="H15" s="40">
        <f>SUMIFS('5. C.Tiết T.Hồi đất'!$L$9:$L$20000,'5. C.Tiết T.Hồi đất'!$D$9:$D$20000,'5.1 TH T.Hồi đất'!$B15,'5. C.Tiết T.Hồi đất'!$H$9:$H$20000,'5.1 TH T.Hồi đất'!$D15,'5. C.Tiết T.Hồi đất'!$I$9:$I$20000,'5.1 TH T.Hồi đất'!$E15,'5. C.Tiết T.Hồi đất'!$J$9:$J$20000,'5.1 TH T.Hồi đất'!$F15,'5. C.Tiết T.Hồi đất'!$K$9:$K$20000,'5.1 TH T.Hồi đất'!$G15)</f>
        <v>0</v>
      </c>
      <c r="I15" s="28">
        <f>SUMIFS('5. C.Tiết T.Hồi đất'!$M$9:$M$20000,'5. C.Tiết T.Hồi đất'!$D$9:$D$20000,'5.1 TH T.Hồi đất'!$B15,'5. C.Tiết T.Hồi đất'!$H$9:$H$20000,'5.1 TH T.Hồi đất'!$D15,'5. C.Tiết T.Hồi đất'!$I$9:$I$20000,'5.1 TH T.Hồi đất'!$E15,'5. C.Tiết T.Hồi đất'!$J$9:$J$20000,'5.1 TH T.Hồi đất'!$F15,'5. C.Tiết T.Hồi đất'!$K$9:$K$20000,'5.1 TH T.Hồi đất'!$G15)</f>
        <v>0</v>
      </c>
    </row>
    <row r="16" spans="1:9" x14ac:dyDescent="0.25">
      <c r="A16" s="7">
        <v>8</v>
      </c>
      <c r="B16" s="8"/>
      <c r="C16" s="9"/>
      <c r="D16" s="8"/>
      <c r="E16" s="8"/>
      <c r="F16" s="8"/>
      <c r="G16" s="8"/>
      <c r="H16" s="40">
        <f>SUMIFS('5. C.Tiết T.Hồi đất'!$L$9:$L$20000,'5. C.Tiết T.Hồi đất'!$D$9:$D$20000,'5.1 TH T.Hồi đất'!$B16,'5. C.Tiết T.Hồi đất'!$H$9:$H$20000,'5.1 TH T.Hồi đất'!$D16,'5. C.Tiết T.Hồi đất'!$I$9:$I$20000,'5.1 TH T.Hồi đất'!$E16,'5. C.Tiết T.Hồi đất'!$J$9:$J$20000,'5.1 TH T.Hồi đất'!$F16,'5. C.Tiết T.Hồi đất'!$K$9:$K$20000,'5.1 TH T.Hồi đất'!$G16)</f>
        <v>0</v>
      </c>
      <c r="I16" s="28">
        <f>SUMIFS('5. C.Tiết T.Hồi đất'!$M$9:$M$20000,'5. C.Tiết T.Hồi đất'!$D$9:$D$20000,'5.1 TH T.Hồi đất'!$B16,'5. C.Tiết T.Hồi đất'!$H$9:$H$20000,'5.1 TH T.Hồi đất'!$D16,'5. C.Tiết T.Hồi đất'!$I$9:$I$20000,'5.1 TH T.Hồi đất'!$E16,'5. C.Tiết T.Hồi đất'!$J$9:$J$20000,'5.1 TH T.Hồi đất'!$F16,'5. C.Tiết T.Hồi đất'!$K$9:$K$20000,'5.1 TH T.Hồi đất'!$G16)</f>
        <v>0</v>
      </c>
    </row>
    <row r="17" spans="1:9" x14ac:dyDescent="0.25">
      <c r="A17" s="7">
        <v>9</v>
      </c>
      <c r="B17" s="8"/>
      <c r="C17" s="9"/>
      <c r="D17" s="8"/>
      <c r="E17" s="8"/>
      <c r="F17" s="8"/>
      <c r="G17" s="8"/>
      <c r="H17" s="40">
        <f>SUMIFS('5. C.Tiết T.Hồi đất'!$L$9:$L$20000,'5. C.Tiết T.Hồi đất'!$D$9:$D$20000,'5.1 TH T.Hồi đất'!$B17,'5. C.Tiết T.Hồi đất'!$H$9:$H$20000,'5.1 TH T.Hồi đất'!$D17,'5. C.Tiết T.Hồi đất'!$I$9:$I$20000,'5.1 TH T.Hồi đất'!$E17,'5. C.Tiết T.Hồi đất'!$J$9:$J$20000,'5.1 TH T.Hồi đất'!$F17,'5. C.Tiết T.Hồi đất'!$K$9:$K$20000,'5.1 TH T.Hồi đất'!$G17)</f>
        <v>0</v>
      </c>
      <c r="I17" s="28">
        <f>SUMIFS('5. C.Tiết T.Hồi đất'!$M$9:$M$20000,'5. C.Tiết T.Hồi đất'!$D$9:$D$20000,'5.1 TH T.Hồi đất'!$B17,'5. C.Tiết T.Hồi đất'!$H$9:$H$20000,'5.1 TH T.Hồi đất'!$D17,'5. C.Tiết T.Hồi đất'!$I$9:$I$20000,'5.1 TH T.Hồi đất'!$E17,'5. C.Tiết T.Hồi đất'!$J$9:$J$20000,'5.1 TH T.Hồi đất'!$F17,'5. C.Tiết T.Hồi đất'!$K$9:$K$20000,'5.1 TH T.Hồi đất'!$G17)</f>
        <v>0</v>
      </c>
    </row>
    <row r="18" spans="1:9" x14ac:dyDescent="0.25">
      <c r="A18" s="7">
        <v>10</v>
      </c>
      <c r="B18" s="8"/>
      <c r="C18" s="9"/>
      <c r="D18" s="8"/>
      <c r="E18" s="8"/>
      <c r="F18" s="8"/>
      <c r="G18" s="8"/>
      <c r="H18" s="40">
        <f>SUMIFS('5. C.Tiết T.Hồi đất'!$L$9:$L$20000,'5. C.Tiết T.Hồi đất'!$D$9:$D$20000,'5.1 TH T.Hồi đất'!$B18,'5. C.Tiết T.Hồi đất'!$H$9:$H$20000,'5.1 TH T.Hồi đất'!$D18,'5. C.Tiết T.Hồi đất'!$I$9:$I$20000,'5.1 TH T.Hồi đất'!$E18,'5. C.Tiết T.Hồi đất'!$J$9:$J$20000,'5.1 TH T.Hồi đất'!$F18,'5. C.Tiết T.Hồi đất'!$K$9:$K$20000,'5.1 TH T.Hồi đất'!$G18)</f>
        <v>0</v>
      </c>
      <c r="I18" s="28">
        <f>SUMIFS('5. C.Tiết T.Hồi đất'!$M$9:$M$20000,'5. C.Tiết T.Hồi đất'!$D$9:$D$20000,'5.1 TH T.Hồi đất'!$B18,'5. C.Tiết T.Hồi đất'!$H$9:$H$20000,'5.1 TH T.Hồi đất'!$D18,'5. C.Tiết T.Hồi đất'!$I$9:$I$20000,'5.1 TH T.Hồi đất'!$E18,'5. C.Tiết T.Hồi đất'!$J$9:$J$20000,'5.1 TH T.Hồi đất'!$F18,'5. C.Tiết T.Hồi đất'!$K$9:$K$20000,'5.1 TH T.Hồi đất'!$G18)</f>
        <v>0</v>
      </c>
    </row>
    <row r="19" spans="1:9" x14ac:dyDescent="0.25">
      <c r="A19" s="7">
        <v>11</v>
      </c>
      <c r="B19" s="8"/>
      <c r="C19" s="9"/>
      <c r="D19" s="8"/>
      <c r="E19" s="8"/>
      <c r="F19" s="8"/>
      <c r="G19" s="8"/>
      <c r="H19" s="40">
        <f>SUMIFS('5. C.Tiết T.Hồi đất'!$L$9:$L$20000,'5. C.Tiết T.Hồi đất'!$D$9:$D$20000,'5.1 TH T.Hồi đất'!$B19,'5. C.Tiết T.Hồi đất'!$H$9:$H$20000,'5.1 TH T.Hồi đất'!$D19,'5. C.Tiết T.Hồi đất'!$I$9:$I$20000,'5.1 TH T.Hồi đất'!$E19,'5. C.Tiết T.Hồi đất'!$J$9:$J$20000,'5.1 TH T.Hồi đất'!$F19,'5. C.Tiết T.Hồi đất'!$K$9:$K$20000,'5.1 TH T.Hồi đất'!$G19)</f>
        <v>0</v>
      </c>
      <c r="I19" s="28">
        <f>SUMIFS('5. C.Tiết T.Hồi đất'!$M$9:$M$20000,'5. C.Tiết T.Hồi đất'!$D$9:$D$20000,'5.1 TH T.Hồi đất'!$B19,'5. C.Tiết T.Hồi đất'!$H$9:$H$20000,'5.1 TH T.Hồi đất'!$D19,'5. C.Tiết T.Hồi đất'!$I$9:$I$20000,'5.1 TH T.Hồi đất'!$E19,'5. C.Tiết T.Hồi đất'!$J$9:$J$20000,'5.1 TH T.Hồi đất'!$F19,'5. C.Tiết T.Hồi đất'!$K$9:$K$20000,'5.1 TH T.Hồi đất'!$G19)</f>
        <v>0</v>
      </c>
    </row>
    <row r="20" spans="1:9" x14ac:dyDescent="0.25">
      <c r="A20" s="7">
        <v>12</v>
      </c>
      <c r="B20" s="8"/>
      <c r="C20" s="9"/>
      <c r="D20" s="8"/>
      <c r="E20" s="8"/>
      <c r="F20" s="8"/>
      <c r="G20" s="8"/>
      <c r="H20" s="40">
        <f>SUMIFS('5. C.Tiết T.Hồi đất'!$L$9:$L$20000,'5. C.Tiết T.Hồi đất'!$D$9:$D$20000,'5.1 TH T.Hồi đất'!$B20,'5. C.Tiết T.Hồi đất'!$H$9:$H$20000,'5.1 TH T.Hồi đất'!$D20,'5. C.Tiết T.Hồi đất'!$I$9:$I$20000,'5.1 TH T.Hồi đất'!$E20,'5. C.Tiết T.Hồi đất'!$J$9:$J$20000,'5.1 TH T.Hồi đất'!$F20,'5. C.Tiết T.Hồi đất'!$K$9:$K$20000,'5.1 TH T.Hồi đất'!$G20)</f>
        <v>0</v>
      </c>
      <c r="I20" s="28">
        <f>SUMIFS('5. C.Tiết T.Hồi đất'!$M$9:$M$20000,'5. C.Tiết T.Hồi đất'!$D$9:$D$20000,'5.1 TH T.Hồi đất'!$B20,'5. C.Tiết T.Hồi đất'!$H$9:$H$20000,'5.1 TH T.Hồi đất'!$D20,'5. C.Tiết T.Hồi đất'!$I$9:$I$20000,'5.1 TH T.Hồi đất'!$E20,'5. C.Tiết T.Hồi đất'!$J$9:$J$20000,'5.1 TH T.Hồi đất'!$F20,'5. C.Tiết T.Hồi đất'!$K$9:$K$20000,'5.1 TH T.Hồi đất'!$G20)</f>
        <v>0</v>
      </c>
    </row>
    <row r="21" spans="1:9" x14ac:dyDescent="0.25">
      <c r="A21" s="7">
        <v>13</v>
      </c>
      <c r="B21" s="8"/>
      <c r="C21" s="9"/>
      <c r="D21" s="8"/>
      <c r="E21" s="8"/>
      <c r="F21" s="8"/>
      <c r="G21" s="8"/>
      <c r="H21" s="40">
        <f>SUMIFS('5. C.Tiết T.Hồi đất'!$L$9:$L$20000,'5. C.Tiết T.Hồi đất'!$D$9:$D$20000,'5.1 TH T.Hồi đất'!$B21,'5. C.Tiết T.Hồi đất'!$H$9:$H$20000,'5.1 TH T.Hồi đất'!$D21,'5. C.Tiết T.Hồi đất'!$I$9:$I$20000,'5.1 TH T.Hồi đất'!$E21,'5. C.Tiết T.Hồi đất'!$J$9:$J$20000,'5.1 TH T.Hồi đất'!$F21,'5. C.Tiết T.Hồi đất'!$K$9:$K$20000,'5.1 TH T.Hồi đất'!$G21)</f>
        <v>0</v>
      </c>
      <c r="I21" s="28">
        <f>SUMIFS('5. C.Tiết T.Hồi đất'!$M$9:$M$20000,'5. C.Tiết T.Hồi đất'!$D$9:$D$20000,'5.1 TH T.Hồi đất'!$B21,'5. C.Tiết T.Hồi đất'!$H$9:$H$20000,'5.1 TH T.Hồi đất'!$D21,'5. C.Tiết T.Hồi đất'!$I$9:$I$20000,'5.1 TH T.Hồi đất'!$E21,'5. C.Tiết T.Hồi đất'!$J$9:$J$20000,'5.1 TH T.Hồi đất'!$F21,'5. C.Tiết T.Hồi đất'!$K$9:$K$20000,'5.1 TH T.Hồi đất'!$G21)</f>
        <v>0</v>
      </c>
    </row>
    <row r="22" spans="1:9" x14ac:dyDescent="0.25">
      <c r="A22" s="7">
        <v>14</v>
      </c>
      <c r="B22" s="8"/>
      <c r="C22" s="9"/>
      <c r="D22" s="8"/>
      <c r="E22" s="8"/>
      <c r="F22" s="8"/>
      <c r="G22" s="8"/>
      <c r="H22" s="40">
        <f>SUMIFS('5. C.Tiết T.Hồi đất'!$L$9:$L$20000,'5. C.Tiết T.Hồi đất'!$D$9:$D$20000,'5.1 TH T.Hồi đất'!$B22,'5. C.Tiết T.Hồi đất'!$H$9:$H$20000,'5.1 TH T.Hồi đất'!$D22,'5. C.Tiết T.Hồi đất'!$I$9:$I$20000,'5.1 TH T.Hồi đất'!$E22,'5. C.Tiết T.Hồi đất'!$J$9:$J$20000,'5.1 TH T.Hồi đất'!$F22,'5. C.Tiết T.Hồi đất'!$K$9:$K$20000,'5.1 TH T.Hồi đất'!$G22)</f>
        <v>0</v>
      </c>
      <c r="I22" s="28">
        <f>SUMIFS('5. C.Tiết T.Hồi đất'!$M$9:$M$20000,'5. C.Tiết T.Hồi đất'!$D$9:$D$20000,'5.1 TH T.Hồi đất'!$B22,'5. C.Tiết T.Hồi đất'!$H$9:$H$20000,'5.1 TH T.Hồi đất'!$D22,'5. C.Tiết T.Hồi đất'!$I$9:$I$20000,'5.1 TH T.Hồi đất'!$E22,'5. C.Tiết T.Hồi đất'!$J$9:$J$20000,'5.1 TH T.Hồi đất'!$F22,'5. C.Tiết T.Hồi đất'!$K$9:$K$20000,'5.1 TH T.Hồi đất'!$G22)</f>
        <v>0</v>
      </c>
    </row>
    <row r="23" spans="1:9" x14ac:dyDescent="0.25">
      <c r="A23" s="7">
        <v>15</v>
      </c>
      <c r="B23" s="8"/>
      <c r="C23" s="9"/>
      <c r="D23" s="8"/>
      <c r="E23" s="8"/>
      <c r="F23" s="8"/>
      <c r="G23" s="8"/>
      <c r="H23" s="40">
        <f>SUMIFS('5. C.Tiết T.Hồi đất'!$L$9:$L$20000,'5. C.Tiết T.Hồi đất'!$D$9:$D$20000,'5.1 TH T.Hồi đất'!$B23,'5. C.Tiết T.Hồi đất'!$H$9:$H$20000,'5.1 TH T.Hồi đất'!$D23,'5. C.Tiết T.Hồi đất'!$I$9:$I$20000,'5.1 TH T.Hồi đất'!$E23,'5. C.Tiết T.Hồi đất'!$J$9:$J$20000,'5.1 TH T.Hồi đất'!$F23,'5. C.Tiết T.Hồi đất'!$K$9:$K$20000,'5.1 TH T.Hồi đất'!$G23)</f>
        <v>0</v>
      </c>
      <c r="I23" s="28">
        <f>SUMIFS('5. C.Tiết T.Hồi đất'!$M$9:$M$20000,'5. C.Tiết T.Hồi đất'!$D$9:$D$20000,'5.1 TH T.Hồi đất'!$B23,'5. C.Tiết T.Hồi đất'!$H$9:$H$20000,'5.1 TH T.Hồi đất'!$D23,'5. C.Tiết T.Hồi đất'!$I$9:$I$20000,'5.1 TH T.Hồi đất'!$E23,'5. C.Tiết T.Hồi đất'!$J$9:$J$20000,'5.1 TH T.Hồi đất'!$F23,'5. C.Tiết T.Hồi đất'!$K$9:$K$20000,'5.1 TH T.Hồi đất'!$G23)</f>
        <v>0</v>
      </c>
    </row>
    <row r="24" spans="1:9" x14ac:dyDescent="0.25">
      <c r="A24" s="7">
        <v>16</v>
      </c>
      <c r="B24" s="8"/>
      <c r="C24" s="9"/>
      <c r="D24" s="8"/>
      <c r="E24" s="8"/>
      <c r="F24" s="8"/>
      <c r="G24" s="8"/>
      <c r="H24" s="40">
        <f>SUMIFS('5. C.Tiết T.Hồi đất'!$L$9:$L$20000,'5. C.Tiết T.Hồi đất'!$D$9:$D$20000,'5.1 TH T.Hồi đất'!$B24,'5. C.Tiết T.Hồi đất'!$H$9:$H$20000,'5.1 TH T.Hồi đất'!$D24,'5. C.Tiết T.Hồi đất'!$I$9:$I$20000,'5.1 TH T.Hồi đất'!$E24,'5. C.Tiết T.Hồi đất'!$J$9:$J$20000,'5.1 TH T.Hồi đất'!$F24,'5. C.Tiết T.Hồi đất'!$K$9:$K$20000,'5.1 TH T.Hồi đất'!$G24)</f>
        <v>0</v>
      </c>
      <c r="I24" s="28">
        <f>SUMIFS('5. C.Tiết T.Hồi đất'!$M$9:$M$20000,'5. C.Tiết T.Hồi đất'!$D$9:$D$20000,'5.1 TH T.Hồi đất'!$B24,'5. C.Tiết T.Hồi đất'!$H$9:$H$20000,'5.1 TH T.Hồi đất'!$D24,'5. C.Tiết T.Hồi đất'!$I$9:$I$20000,'5.1 TH T.Hồi đất'!$E24,'5. C.Tiết T.Hồi đất'!$J$9:$J$20000,'5.1 TH T.Hồi đất'!$F24,'5. C.Tiết T.Hồi đất'!$K$9:$K$20000,'5.1 TH T.Hồi đất'!$G24)</f>
        <v>0</v>
      </c>
    </row>
  </sheetData>
  <mergeCells count="5">
    <mergeCell ref="A4:I4"/>
    <mergeCell ref="A5:I5"/>
    <mergeCell ref="A8:G8"/>
    <mergeCell ref="A1:D1"/>
    <mergeCell ref="A2:D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8BE4-1143-44E5-B281-756E499D5DFD}">
  <sheetPr>
    <tabColor rgb="FFFF0000"/>
  </sheetPr>
  <dimension ref="A1:N22"/>
  <sheetViews>
    <sheetView zoomScale="90" zoomScaleNormal="90" workbookViewId="0">
      <selection activeCell="E9" sqref="E9:H9"/>
    </sheetView>
  </sheetViews>
  <sheetFormatPr defaultColWidth="8.85546875" defaultRowHeight="15" x14ac:dyDescent="0.25"/>
  <cols>
    <col min="1" max="1" width="21" style="87" customWidth="1"/>
    <col min="2" max="2" width="14.28515625" style="87" customWidth="1"/>
    <col min="3" max="3" width="12.140625" style="89" customWidth="1"/>
    <col min="4" max="4" width="22" style="89" customWidth="1"/>
    <col min="5" max="5" width="19" style="89" customWidth="1"/>
    <col min="6" max="7" width="14.7109375" style="89" customWidth="1"/>
    <col min="8" max="8" width="13" style="89" customWidth="1"/>
    <col min="9" max="9" width="16" style="127" customWidth="1"/>
    <col min="10" max="10" width="16" style="142" customWidth="1"/>
    <col min="11" max="12" width="16" style="127" customWidth="1"/>
    <col min="13" max="13" width="13.7109375" style="107" customWidth="1"/>
    <col min="14" max="14" width="13.5703125" style="89" customWidth="1"/>
    <col min="15" max="16384" width="8.85546875" style="87"/>
  </cols>
  <sheetData>
    <row r="1" spans="1:14" ht="15.75" x14ac:dyDescent="0.25">
      <c r="A1" s="168" t="s">
        <v>9</v>
      </c>
      <c r="B1" s="168"/>
      <c r="C1" s="168"/>
      <c r="D1" s="168"/>
      <c r="E1" s="168"/>
      <c r="F1" s="168"/>
      <c r="G1" s="20"/>
    </row>
    <row r="2" spans="1:14" ht="15.75" x14ac:dyDescent="0.25">
      <c r="A2" s="168" t="s">
        <v>10</v>
      </c>
      <c r="B2" s="168"/>
      <c r="C2" s="168"/>
      <c r="D2" s="168"/>
      <c r="E2" s="168"/>
      <c r="F2" s="168"/>
      <c r="G2" s="20"/>
    </row>
    <row r="3" spans="1:14" ht="15.75" x14ac:dyDescent="0.25">
      <c r="A3" s="2"/>
      <c r="B3" s="2"/>
      <c r="C3" s="1"/>
      <c r="D3" s="1"/>
      <c r="E3" s="20"/>
      <c r="F3" s="1"/>
      <c r="G3" s="20"/>
    </row>
    <row r="4" spans="1:14" ht="15.6" customHeight="1" x14ac:dyDescent="0.25">
      <c r="A4" s="168" t="s">
        <v>228</v>
      </c>
      <c r="B4" s="168"/>
      <c r="C4" s="168"/>
      <c r="D4" s="168"/>
      <c r="E4" s="168"/>
      <c r="F4" s="168"/>
      <c r="G4" s="168"/>
      <c r="H4" s="168"/>
      <c r="I4" s="168"/>
      <c r="J4" s="168"/>
      <c r="K4" s="168"/>
      <c r="L4" s="168"/>
      <c r="M4" s="168"/>
      <c r="N4" s="168"/>
    </row>
    <row r="6" spans="1:14" ht="13.9" customHeight="1" x14ac:dyDescent="0.25">
      <c r="A6" s="192" t="s">
        <v>155</v>
      </c>
      <c r="B6" s="193"/>
      <c r="C6" s="193"/>
      <c r="D6" s="198"/>
      <c r="E6" s="194" t="s">
        <v>40</v>
      </c>
      <c r="F6" s="194"/>
      <c r="G6" s="194"/>
      <c r="H6" s="194"/>
      <c r="I6" s="194" t="s">
        <v>26</v>
      </c>
      <c r="J6" s="194"/>
      <c r="K6" s="194"/>
      <c r="L6" s="194"/>
      <c r="M6" s="194"/>
      <c r="N6" s="194"/>
    </row>
    <row r="7" spans="1:14" ht="42.75" x14ac:dyDescent="0.25">
      <c r="A7" s="108" t="s">
        <v>0</v>
      </c>
      <c r="B7" s="108" t="s">
        <v>166</v>
      </c>
      <c r="C7" s="108" t="s">
        <v>56</v>
      </c>
      <c r="D7" s="108" t="s">
        <v>63</v>
      </c>
      <c r="E7" s="4" t="s">
        <v>36</v>
      </c>
      <c r="F7" s="4" t="s">
        <v>133</v>
      </c>
      <c r="G7" s="5" t="s">
        <v>154</v>
      </c>
      <c r="H7" s="5" t="s">
        <v>82</v>
      </c>
      <c r="I7" s="128" t="s">
        <v>156</v>
      </c>
      <c r="J7" s="141" t="s">
        <v>190</v>
      </c>
      <c r="K7" s="128" t="s">
        <v>167</v>
      </c>
      <c r="L7" s="128" t="s">
        <v>139</v>
      </c>
      <c r="M7" s="108" t="s">
        <v>140</v>
      </c>
      <c r="N7" s="108" t="s">
        <v>141</v>
      </c>
    </row>
    <row r="8" spans="1:14" ht="42.75" x14ac:dyDescent="0.25">
      <c r="A8" s="108"/>
      <c r="B8" s="108"/>
      <c r="C8" s="108"/>
      <c r="D8" s="108" t="s">
        <v>359</v>
      </c>
      <c r="E8" s="4"/>
      <c r="F8" s="4"/>
      <c r="G8" s="5"/>
      <c r="H8" s="5"/>
      <c r="I8" s="128"/>
      <c r="J8" s="87"/>
      <c r="K8" s="128"/>
      <c r="L8" s="128"/>
      <c r="M8" s="87"/>
      <c r="N8" s="87"/>
    </row>
    <row r="9" spans="1:14" ht="42.75" x14ac:dyDescent="0.25">
      <c r="A9" s="108" t="s">
        <v>357</v>
      </c>
      <c r="B9" s="108" t="s">
        <v>351</v>
      </c>
      <c r="C9" s="108" t="s">
        <v>358</v>
      </c>
      <c r="D9" s="108" t="s">
        <v>324</v>
      </c>
      <c r="E9" s="172" t="s">
        <v>363</v>
      </c>
      <c r="F9" s="173"/>
      <c r="G9" s="173"/>
      <c r="H9" s="186"/>
      <c r="I9" s="128"/>
      <c r="J9" s="141" t="s">
        <v>353</v>
      </c>
      <c r="K9" s="128"/>
      <c r="L9" s="128"/>
      <c r="M9" s="108" t="s">
        <v>354</v>
      </c>
      <c r="N9" s="108" t="s">
        <v>355</v>
      </c>
    </row>
    <row r="10" spans="1:14" ht="28.5" x14ac:dyDescent="0.25">
      <c r="A10" s="88">
        <v>2</v>
      </c>
      <c r="B10" s="131">
        <v>45433</v>
      </c>
      <c r="C10" s="86">
        <v>140</v>
      </c>
      <c r="D10" s="86">
        <v>240</v>
      </c>
      <c r="E10" s="86" t="s">
        <v>110</v>
      </c>
      <c r="F10" s="86" t="s">
        <v>152</v>
      </c>
      <c r="G10" s="86" t="s">
        <v>112</v>
      </c>
      <c r="H10" s="86" t="s">
        <v>114</v>
      </c>
      <c r="I10" s="129">
        <f>(SUMIFS('4. C.Tiết P.Án B.Thường'!$O$11:$O$20001,'4. C.Tiết P.Án B.Thường'!$J$11:$J$20001,'6. DS hộ  thu hồi GPMB nhanh'!$E10,'4. C.Tiết P.Án B.Thường'!$K$11:$K$20001,'6. DS hộ  thu hồi GPMB nhanh'!$F10,'4. C.Tiết P.Án B.Thường'!$L$11:$L$20001,'6. DS hộ  thu hồi GPMB nhanh'!$G10,'4. C.Tiết P.Án B.Thường'!$M$11:$M$20001,'6. DS hộ  thu hồi GPMB nhanh'!$H10,'4. C.Tiết P.Án B.Thường'!$B$11:$B$20001,'6. DS hộ  thu hồi GPMB nhanh'!$C10,'4. C.Tiết P.Án B.Thường'!$F$11:$F$20001,'6. DS hộ  thu hồi GPMB nhanh'!$D10,'4. C.Tiết P.Án B.Thường'!$F$11:$F$20001,"&lt;&gt;"&amp;"Tạm ứng",'4. C.Tiết P.Án B.Thường'!$H$11:$H$20001,"",'4. C.Tiết P.Án B.Thường'!$G$11:$G$20001,"&lt;="&amp;'6. DS hộ  thu hồi GPMB nhanh'!$B10)+SUMIFS('4. C.Tiết P.Án B.Thường'!$O$11:$O$20001,'4. C.Tiết P.Án B.Thường'!$J$11:$J$20001,'6. DS hộ  thu hồi GPMB nhanh'!$E10,'4. C.Tiết P.Án B.Thường'!$K$11:$K$20001,'6. DS hộ  thu hồi GPMB nhanh'!$F10,'4. C.Tiết P.Án B.Thường'!$L$11:$L$20001,'6. DS hộ  thu hồi GPMB nhanh'!$G10,'4. C.Tiết P.Án B.Thường'!$M$11:$M$20001,'6. DS hộ  thu hồi GPMB nhanh'!$H10,'4. C.Tiết P.Án B.Thường'!$B$11:$B$20001,'6. DS hộ  thu hồi GPMB nhanh'!$C10,'4. C.Tiết P.Án B.Thường'!$H$11:$H$20001,"&lt;&gt;"&amp;"Tạm ứng",'4. C.Tiết P.Án B.Thường'!$H$11:$H$20001,"&lt;&gt;"&amp;"",'4. C.Tiết P.Án B.Thường'!$I$11:$I$20001,"&lt;="&amp;'6. DS hộ  thu hồi GPMB nhanh'!$B10))-SUMIFS('9. Thu, chi PABT'!$T$11:$T$20001,'9. Thu, chi PABT'!$J$11:$J$20001,'6. DS hộ  thu hồi GPMB nhanh'!$E10,'9. Thu, chi PABT'!$K$11:$K$20001,'6. DS hộ  thu hồi GPMB nhanh'!$F10,'9. Thu, chi PABT'!$L$11:$L$20001,'6. DS hộ  thu hồi GPMB nhanh'!$G10,'9. Thu, chi PABT'!$M$11:$M$20001,'6. DS hộ  thu hồi GPMB nhanh'!$H10,'9. Thu, chi PABT'!$B$11:$B$20001,'6. DS hộ  thu hồi GPMB nhanh'!$C10,'9. Thu, chi PABT'!$F$11:$F$20001,'6. DS hộ  thu hồi GPMB nhanh'!$D10,'9. Thu, chi PABT'!$F$11:$F$20001,"&lt;&gt;"&amp;"",'9. Thu, chi PABT'!$F$11:$F$20001,"&lt;&gt;"&amp;"Tạm ứng",'9. Thu, chi PABT'!$H$11:$H$20001,"&lt;&gt;"&amp;"Tạm ứng",'9. Thu, chi PABT'!$R$11:$R$20001,"&lt;"&amp;'6. DS hộ  thu hồi GPMB nhanh'!$B10)+SUMIFS('9. Thu, chi PABT'!$U$11:$U$20001,'9. Thu, chi PABT'!$J$11:$J$20001,'6. DS hộ  thu hồi GPMB nhanh'!$E10,'9. Thu, chi PABT'!$K$11:$K$20001,'6. DS hộ  thu hồi GPMB nhanh'!$F10,'9. Thu, chi PABT'!$L$11:$L$20001,'6. DS hộ  thu hồi GPMB nhanh'!$G10,'9. Thu, chi PABT'!$M$11:$M$20001,'6. DS hộ  thu hồi GPMB nhanh'!H10,'9. Thu, chi PABT'!$B$11:$B$20001,'6. DS hộ  thu hồi GPMB nhanh'!$C10,'9. Thu, chi PABT'!$F$11:$F$20001,"&lt;&gt;"&amp;"",'9. Thu, chi PABT'!$R$11:$R$20001,"&lt;"&amp;'6. DS hộ  thu hồi GPMB nhanh'!$B10)</f>
        <v>-10000000</v>
      </c>
      <c r="J10" s="143">
        <v>3000000</v>
      </c>
      <c r="K10" s="129">
        <f>SUMIFS('9. Thu, chi PABT'!$U$11:$U$20001,'9. Thu, chi PABT'!$J$11:$J$20001,'6. DS hộ  thu hồi GPMB nhanh'!$E10,'9. Thu, chi PABT'!$K$11:$K$20001,'6. DS hộ  thu hồi GPMB nhanh'!$F10,'9. Thu, chi PABT'!$L$11:$L$20001,'6. DS hộ  thu hồi GPMB nhanh'!$G10,'9. Thu, chi PABT'!$M$11:$M$20001,'6. DS hộ  thu hồi GPMB nhanh'!H10,'9. Thu, chi PABT'!$B$11:$B$20001,'6. DS hộ  thu hồi GPMB nhanh'!$C10,'9. Thu, chi PABT'!$F$11:$F$20001,'6. DS hộ  thu hồi GPMB nhanh'!$D10,'9. Thu, chi PABT'!$R$11:$R$20001,'6. DS hộ  thu hồi GPMB nhanh'!$B10)</f>
        <v>3000000</v>
      </c>
      <c r="L10" s="130">
        <f>IF(K10&gt;0,I10+K10,I10+J10)</f>
        <v>-7000000</v>
      </c>
      <c r="M10" s="86" t="s">
        <v>157</v>
      </c>
      <c r="N10" s="86" t="str">
        <f t="shared" ref="N10:N17" si="0">IF(M10="","",IF(AND(L10&lt;0,M10="Thu hồi"),"Chưa hoàn thành thu hồi","Hoàn thành thu hồi"))</f>
        <v>Chưa hoàn thành thu hồi</v>
      </c>
    </row>
    <row r="11" spans="1:14" ht="28.5" x14ac:dyDescent="0.25">
      <c r="A11" s="88">
        <v>3</v>
      </c>
      <c r="B11" s="131">
        <v>45437</v>
      </c>
      <c r="C11" s="86">
        <v>140</v>
      </c>
      <c r="D11" s="86">
        <v>240</v>
      </c>
      <c r="E11" s="86" t="s">
        <v>110</v>
      </c>
      <c r="F11" s="86" t="s">
        <v>152</v>
      </c>
      <c r="G11" s="86" t="s">
        <v>112</v>
      </c>
      <c r="H11" s="86" t="s">
        <v>114</v>
      </c>
      <c r="I11" s="129">
        <f>(SUMIFS('4. C.Tiết P.Án B.Thường'!$O$11:$O$20001,'4. C.Tiết P.Án B.Thường'!$J$11:$J$20001,'6. DS hộ  thu hồi GPMB nhanh'!$E11,'4. C.Tiết P.Án B.Thường'!$K$11:$K$20001,'6. DS hộ  thu hồi GPMB nhanh'!$F11,'4. C.Tiết P.Án B.Thường'!$L$11:$L$20001,'6. DS hộ  thu hồi GPMB nhanh'!$G11,'4. C.Tiết P.Án B.Thường'!$M$11:$M$20001,'6. DS hộ  thu hồi GPMB nhanh'!$H11,'4. C.Tiết P.Án B.Thường'!$B$11:$B$20001,'6. DS hộ  thu hồi GPMB nhanh'!$C11,'4. C.Tiết P.Án B.Thường'!$F$11:$F$20001,'6. DS hộ  thu hồi GPMB nhanh'!$D11,'4. C.Tiết P.Án B.Thường'!$F$11:$F$20001,"&lt;&gt;"&amp;"Tạm ứng",'4. C.Tiết P.Án B.Thường'!$H$11:$H$20001,"",'4. C.Tiết P.Án B.Thường'!$G$11:$G$20001,"&lt;="&amp;'6. DS hộ  thu hồi GPMB nhanh'!$B11)+SUMIFS('4. C.Tiết P.Án B.Thường'!$O$11:$O$20001,'4. C.Tiết P.Án B.Thường'!$J$11:$J$20001,'6. DS hộ  thu hồi GPMB nhanh'!$E11,'4. C.Tiết P.Án B.Thường'!$K$11:$K$20001,'6. DS hộ  thu hồi GPMB nhanh'!$F11,'4. C.Tiết P.Án B.Thường'!$L$11:$L$20001,'6. DS hộ  thu hồi GPMB nhanh'!$G11,'4. C.Tiết P.Án B.Thường'!$M$11:$M$20001,'6. DS hộ  thu hồi GPMB nhanh'!$H11,'4. C.Tiết P.Án B.Thường'!$B$11:$B$20001,'6. DS hộ  thu hồi GPMB nhanh'!$C11,'4. C.Tiết P.Án B.Thường'!$H$11:$H$20001,"&lt;&gt;"&amp;"Tạm ứng",'4. C.Tiết P.Án B.Thường'!$H$11:$H$20001,"&lt;&gt;"&amp;"",'4. C.Tiết P.Án B.Thường'!$I$11:$I$20001,"&lt;="&amp;'6. DS hộ  thu hồi GPMB nhanh'!$B11))-SUMIFS('9. Thu, chi PABT'!$T$11:$T$20001,'9. Thu, chi PABT'!$J$11:$J$20001,'6. DS hộ  thu hồi GPMB nhanh'!$E11,'9. Thu, chi PABT'!$K$11:$K$20001,'6. DS hộ  thu hồi GPMB nhanh'!$F11,'9. Thu, chi PABT'!$L$11:$L$20001,'6. DS hộ  thu hồi GPMB nhanh'!$G11,'9. Thu, chi PABT'!$M$11:$M$20001,'6. DS hộ  thu hồi GPMB nhanh'!$H11,'9. Thu, chi PABT'!$B$11:$B$20001,'6. DS hộ  thu hồi GPMB nhanh'!$C11,'9. Thu, chi PABT'!$F$11:$F$20001,'6. DS hộ  thu hồi GPMB nhanh'!$D11,'9. Thu, chi PABT'!$F$11:$F$20001,"&lt;&gt;"&amp;"",'9. Thu, chi PABT'!$F$11:$F$20001,"&lt;&gt;"&amp;"Tạm ứng",'9. Thu, chi PABT'!$H$11:$H$20001,"&lt;&gt;"&amp;"Tạm ứng",'9. Thu, chi PABT'!$R$11:$R$20001,"&lt;"&amp;'6. DS hộ  thu hồi GPMB nhanh'!$B11)+SUMIFS('9. Thu, chi PABT'!$U$11:$U$20001,'9. Thu, chi PABT'!$J$11:$J$20001,'6. DS hộ  thu hồi GPMB nhanh'!$E11,'9. Thu, chi PABT'!$K$11:$K$20001,'6. DS hộ  thu hồi GPMB nhanh'!$F11,'9. Thu, chi PABT'!$L$11:$L$20001,'6. DS hộ  thu hồi GPMB nhanh'!$G11,'9. Thu, chi PABT'!$M$11:$M$20001,'6. DS hộ  thu hồi GPMB nhanh'!H11,'9. Thu, chi PABT'!$B$11:$B$20001,'6. DS hộ  thu hồi GPMB nhanh'!$C11,'9. Thu, chi PABT'!$F$11:$F$20001,"&lt;&gt;"&amp;"",'9. Thu, chi PABT'!$R$11:$R$20001,"&lt;"&amp;'6. DS hộ  thu hồi GPMB nhanh'!$B11)</f>
        <v>-7000000</v>
      </c>
      <c r="J11" s="143">
        <v>7000000</v>
      </c>
      <c r="K11" s="129">
        <f>SUMIFS('9. Thu, chi PABT'!$U$11:$U$20001,'9. Thu, chi PABT'!$J$11:$J$20001,'6. DS hộ  thu hồi GPMB nhanh'!$E11,'9. Thu, chi PABT'!$K$11:$K$20001,'6. DS hộ  thu hồi GPMB nhanh'!$F11,'9. Thu, chi PABT'!$L$11:$L$20001,'6. DS hộ  thu hồi GPMB nhanh'!$G11,'9. Thu, chi PABT'!$M$11:$M$20001,'6. DS hộ  thu hồi GPMB nhanh'!H11,'9. Thu, chi PABT'!$B$11:$B$20001,'6. DS hộ  thu hồi GPMB nhanh'!$C11,'9. Thu, chi PABT'!$F$11:$F$20001,'6. DS hộ  thu hồi GPMB nhanh'!$D11,'9. Thu, chi PABT'!$R$11:$R$20001,'6. DS hộ  thu hồi GPMB nhanh'!$B11)</f>
        <v>7000000</v>
      </c>
      <c r="L11" s="130">
        <f t="shared" ref="L11:L17" si="1">IF(K11&gt;0,I11+K11,I11+J11)</f>
        <v>0</v>
      </c>
      <c r="M11" s="86" t="s">
        <v>157</v>
      </c>
      <c r="N11" s="86" t="str">
        <f t="shared" si="0"/>
        <v>Hoàn thành thu hồi</v>
      </c>
    </row>
    <row r="12" spans="1:14" x14ac:dyDescent="0.25">
      <c r="A12" s="88">
        <v>4</v>
      </c>
      <c r="B12" s="88"/>
      <c r="C12" s="86"/>
      <c r="D12" s="86"/>
      <c r="E12" s="86"/>
      <c r="F12" s="86"/>
      <c r="G12" s="86"/>
      <c r="H12" s="86"/>
      <c r="I12" s="129">
        <f>(SUMIFS('4. C.Tiết P.Án B.Thường'!$O$11:$O$20001,'4. C.Tiết P.Án B.Thường'!$J$11:$J$20001,'6. DS hộ  thu hồi GPMB nhanh'!$E12,'4. C.Tiết P.Án B.Thường'!$K$11:$K$20001,'6. DS hộ  thu hồi GPMB nhanh'!$F12,'4. C.Tiết P.Án B.Thường'!$L$11:$L$20001,'6. DS hộ  thu hồi GPMB nhanh'!$G12,'4. C.Tiết P.Án B.Thường'!$M$11:$M$20001,'6. DS hộ  thu hồi GPMB nhanh'!$H12,'4. C.Tiết P.Án B.Thường'!$B$11:$B$20001,'6. DS hộ  thu hồi GPMB nhanh'!$C12,'4. C.Tiết P.Án B.Thường'!$F$11:$F$20001,'6. DS hộ  thu hồi GPMB nhanh'!$D12,'4. C.Tiết P.Án B.Thường'!$F$11:$F$20001,"&lt;&gt;"&amp;"Tạm ứng",'4. C.Tiết P.Án B.Thường'!$H$11:$H$20001,"",'4. C.Tiết P.Án B.Thường'!$G$11:$G$20001,"&lt;="&amp;'6. DS hộ  thu hồi GPMB nhanh'!$B12)+SUMIFS('4. C.Tiết P.Án B.Thường'!$O$11:$O$20001,'4. C.Tiết P.Án B.Thường'!$J$11:$J$20001,'6. DS hộ  thu hồi GPMB nhanh'!$E12,'4. C.Tiết P.Án B.Thường'!$K$11:$K$20001,'6. DS hộ  thu hồi GPMB nhanh'!$F12,'4. C.Tiết P.Án B.Thường'!$L$11:$L$20001,'6. DS hộ  thu hồi GPMB nhanh'!$G12,'4. C.Tiết P.Án B.Thường'!$M$11:$M$20001,'6. DS hộ  thu hồi GPMB nhanh'!$H12,'4. C.Tiết P.Án B.Thường'!$B$11:$B$20001,'6. DS hộ  thu hồi GPMB nhanh'!$C12,'4. C.Tiết P.Án B.Thường'!$H$11:$H$20001,"&lt;&gt;"&amp;"Tạm ứng",'4. C.Tiết P.Án B.Thường'!$H$11:$H$20001,"&lt;&gt;"&amp;"",'4. C.Tiết P.Án B.Thường'!$I$11:$I$20001,"&lt;="&amp;'6. DS hộ  thu hồi GPMB nhanh'!$B12))-SUMIFS('9. Thu, chi PABT'!$T$11:$T$20001,'9. Thu, chi PABT'!$J$11:$J$20001,'6. DS hộ  thu hồi GPMB nhanh'!$E12,'9. Thu, chi PABT'!$K$11:$K$20001,'6. DS hộ  thu hồi GPMB nhanh'!$F12,'9. Thu, chi PABT'!$L$11:$L$20001,'6. DS hộ  thu hồi GPMB nhanh'!$G12,'9. Thu, chi PABT'!$M$11:$M$20001,'6. DS hộ  thu hồi GPMB nhanh'!$H12,'9. Thu, chi PABT'!$B$11:$B$20001,'6. DS hộ  thu hồi GPMB nhanh'!$C12,'9. Thu, chi PABT'!$F$11:$F$20001,'6. DS hộ  thu hồi GPMB nhanh'!$D12,'9. Thu, chi PABT'!$F$11:$F$20001,"&lt;&gt;"&amp;"",'9. Thu, chi PABT'!$F$11:$F$20001,"&lt;&gt;"&amp;"Tạm ứng",'9. Thu, chi PABT'!$H$11:$H$20001,"&lt;&gt;"&amp;"Tạm ứng",'9. Thu, chi PABT'!$R$11:$R$20001,"&lt;"&amp;'6. DS hộ  thu hồi GPMB nhanh'!$B12)+SUMIFS('9. Thu, chi PABT'!$U$11:$U$20001,'9. Thu, chi PABT'!$J$11:$J$20001,'6. DS hộ  thu hồi GPMB nhanh'!$E12,'9. Thu, chi PABT'!$K$11:$K$20001,'6. DS hộ  thu hồi GPMB nhanh'!$F12,'9. Thu, chi PABT'!$L$11:$L$20001,'6. DS hộ  thu hồi GPMB nhanh'!$G12,'9. Thu, chi PABT'!$M$11:$M$20001,'6. DS hộ  thu hồi GPMB nhanh'!H12,'9. Thu, chi PABT'!$B$11:$B$20001,'6. DS hộ  thu hồi GPMB nhanh'!$C12,'9. Thu, chi PABT'!$F$11:$F$20001,"&lt;&gt;"&amp;"",'9. Thu, chi PABT'!$R$11:$R$20001,"&lt;"&amp;'6. DS hộ  thu hồi GPMB nhanh'!$B12)</f>
        <v>0</v>
      </c>
      <c r="J12" s="143"/>
      <c r="K12" s="129">
        <f>SUMIFS('9. Thu, chi PABT'!$U$11:$U$20001,'9. Thu, chi PABT'!$J$11:$J$20001,'6. DS hộ  thu hồi GPMB nhanh'!$E12,'9. Thu, chi PABT'!$K$11:$K$20001,'6. DS hộ  thu hồi GPMB nhanh'!$F12,'9. Thu, chi PABT'!$L$11:$L$20001,'6. DS hộ  thu hồi GPMB nhanh'!$G12,'9. Thu, chi PABT'!$M$11:$M$20001,'6. DS hộ  thu hồi GPMB nhanh'!H12,'9. Thu, chi PABT'!$B$11:$B$20001,'6. DS hộ  thu hồi GPMB nhanh'!$C12,'9. Thu, chi PABT'!$F$11:$F$20001,'6. DS hộ  thu hồi GPMB nhanh'!$D12,'9. Thu, chi PABT'!$R$11:$R$20001,'6. DS hộ  thu hồi GPMB nhanh'!$B12)</f>
        <v>0</v>
      </c>
      <c r="L12" s="130">
        <f t="shared" si="1"/>
        <v>0</v>
      </c>
      <c r="M12" s="86"/>
      <c r="N12" s="86" t="str">
        <f t="shared" si="0"/>
        <v/>
      </c>
    </row>
    <row r="13" spans="1:14" x14ac:dyDescent="0.25">
      <c r="A13" s="88">
        <v>5</v>
      </c>
      <c r="B13" s="88"/>
      <c r="C13" s="86"/>
      <c r="D13" s="86"/>
      <c r="E13" s="86"/>
      <c r="F13" s="86"/>
      <c r="G13" s="86"/>
      <c r="H13" s="86"/>
      <c r="I13" s="129">
        <f>(SUMIFS('4. C.Tiết P.Án B.Thường'!$O$11:$O$20001,'4. C.Tiết P.Án B.Thường'!$J$11:$J$20001,'6. DS hộ  thu hồi GPMB nhanh'!$E13,'4. C.Tiết P.Án B.Thường'!$K$11:$K$20001,'6. DS hộ  thu hồi GPMB nhanh'!$F13,'4. C.Tiết P.Án B.Thường'!$L$11:$L$20001,'6. DS hộ  thu hồi GPMB nhanh'!$G13,'4. C.Tiết P.Án B.Thường'!$M$11:$M$20001,'6. DS hộ  thu hồi GPMB nhanh'!$H13,'4. C.Tiết P.Án B.Thường'!$B$11:$B$20001,'6. DS hộ  thu hồi GPMB nhanh'!$C13,'4. C.Tiết P.Án B.Thường'!$F$11:$F$20001,'6. DS hộ  thu hồi GPMB nhanh'!$D13,'4. C.Tiết P.Án B.Thường'!$F$11:$F$20001,"&lt;&gt;"&amp;"Tạm ứng",'4. C.Tiết P.Án B.Thường'!$H$11:$H$20001,"",'4. C.Tiết P.Án B.Thường'!$G$11:$G$20001,"&lt;="&amp;'6. DS hộ  thu hồi GPMB nhanh'!$B13)+SUMIFS('4. C.Tiết P.Án B.Thường'!$O$11:$O$20001,'4. C.Tiết P.Án B.Thường'!$J$11:$J$20001,'6. DS hộ  thu hồi GPMB nhanh'!$E13,'4. C.Tiết P.Án B.Thường'!$K$11:$K$20001,'6. DS hộ  thu hồi GPMB nhanh'!$F13,'4. C.Tiết P.Án B.Thường'!$L$11:$L$20001,'6. DS hộ  thu hồi GPMB nhanh'!$G13,'4. C.Tiết P.Án B.Thường'!$M$11:$M$20001,'6. DS hộ  thu hồi GPMB nhanh'!$H13,'4. C.Tiết P.Án B.Thường'!$B$11:$B$20001,'6. DS hộ  thu hồi GPMB nhanh'!$C13,'4. C.Tiết P.Án B.Thường'!$H$11:$H$20001,"&lt;&gt;"&amp;"Tạm ứng",'4. C.Tiết P.Án B.Thường'!$H$11:$H$20001,"&lt;&gt;"&amp;"",'4. C.Tiết P.Án B.Thường'!$I$11:$I$20001,"&lt;="&amp;'6. DS hộ  thu hồi GPMB nhanh'!$B13))-SUMIFS('9. Thu, chi PABT'!$T$11:$T$20001,'9. Thu, chi PABT'!$J$11:$J$20001,'6. DS hộ  thu hồi GPMB nhanh'!$E13,'9. Thu, chi PABT'!$K$11:$K$20001,'6. DS hộ  thu hồi GPMB nhanh'!$F13,'9. Thu, chi PABT'!$L$11:$L$20001,'6. DS hộ  thu hồi GPMB nhanh'!$G13,'9. Thu, chi PABT'!$M$11:$M$20001,'6. DS hộ  thu hồi GPMB nhanh'!$H13,'9. Thu, chi PABT'!$B$11:$B$20001,'6. DS hộ  thu hồi GPMB nhanh'!$C13,'9. Thu, chi PABT'!$F$11:$F$20001,'6. DS hộ  thu hồi GPMB nhanh'!$D13,'9. Thu, chi PABT'!$F$11:$F$20001,"&lt;&gt;"&amp;"",'9. Thu, chi PABT'!$F$11:$F$20001,"&lt;&gt;"&amp;"Tạm ứng",'9. Thu, chi PABT'!$H$11:$H$20001,"&lt;&gt;"&amp;"Tạm ứng",'9. Thu, chi PABT'!$R$11:$R$20001,"&lt;"&amp;'6. DS hộ  thu hồi GPMB nhanh'!$B13)+SUMIFS('9. Thu, chi PABT'!$U$11:$U$20001,'9. Thu, chi PABT'!$J$11:$J$20001,'6. DS hộ  thu hồi GPMB nhanh'!$E13,'9. Thu, chi PABT'!$K$11:$K$20001,'6. DS hộ  thu hồi GPMB nhanh'!$F13,'9. Thu, chi PABT'!$L$11:$L$20001,'6. DS hộ  thu hồi GPMB nhanh'!$G13,'9. Thu, chi PABT'!$M$11:$M$20001,'6. DS hộ  thu hồi GPMB nhanh'!H13,'9. Thu, chi PABT'!$B$11:$B$20001,'6. DS hộ  thu hồi GPMB nhanh'!$C13,'9. Thu, chi PABT'!$F$11:$F$20001,"&lt;&gt;"&amp;"",'9. Thu, chi PABT'!$R$11:$R$20001,"&lt;"&amp;'6. DS hộ  thu hồi GPMB nhanh'!$B13)</f>
        <v>0</v>
      </c>
      <c r="J13" s="143"/>
      <c r="K13" s="129">
        <f>SUMIFS('9. Thu, chi PABT'!$U$11:$U$20001,'9. Thu, chi PABT'!$J$11:$J$20001,'6. DS hộ  thu hồi GPMB nhanh'!$E13,'9. Thu, chi PABT'!$K$11:$K$20001,'6. DS hộ  thu hồi GPMB nhanh'!$F13,'9. Thu, chi PABT'!$L$11:$L$20001,'6. DS hộ  thu hồi GPMB nhanh'!$G13,'9. Thu, chi PABT'!$M$11:$M$20001,'6. DS hộ  thu hồi GPMB nhanh'!H13,'9. Thu, chi PABT'!$B$11:$B$20001,'6. DS hộ  thu hồi GPMB nhanh'!$C13,'9. Thu, chi PABT'!$F$11:$F$20001,'6. DS hộ  thu hồi GPMB nhanh'!$D13,'9. Thu, chi PABT'!$R$11:$R$20001,'6. DS hộ  thu hồi GPMB nhanh'!$B13)</f>
        <v>0</v>
      </c>
      <c r="L13" s="130">
        <f t="shared" si="1"/>
        <v>0</v>
      </c>
      <c r="M13" s="86"/>
      <c r="N13" s="86" t="str">
        <f t="shared" si="0"/>
        <v/>
      </c>
    </row>
    <row r="14" spans="1:14" x14ac:dyDescent="0.25">
      <c r="A14" s="88">
        <v>6</v>
      </c>
      <c r="B14" s="88"/>
      <c r="C14" s="86"/>
      <c r="D14" s="86"/>
      <c r="E14" s="86"/>
      <c r="F14" s="86"/>
      <c r="G14" s="86"/>
      <c r="H14" s="86"/>
      <c r="I14" s="129">
        <f>(SUMIFS('4. C.Tiết P.Án B.Thường'!$O$11:$O$20001,'4. C.Tiết P.Án B.Thường'!$J$11:$J$20001,'6. DS hộ  thu hồi GPMB nhanh'!$E14,'4. C.Tiết P.Án B.Thường'!$K$11:$K$20001,'6. DS hộ  thu hồi GPMB nhanh'!$F14,'4. C.Tiết P.Án B.Thường'!$L$11:$L$20001,'6. DS hộ  thu hồi GPMB nhanh'!$G14,'4. C.Tiết P.Án B.Thường'!$M$11:$M$20001,'6. DS hộ  thu hồi GPMB nhanh'!$H14,'4. C.Tiết P.Án B.Thường'!$B$11:$B$20001,'6. DS hộ  thu hồi GPMB nhanh'!$C14,'4. C.Tiết P.Án B.Thường'!$F$11:$F$20001,'6. DS hộ  thu hồi GPMB nhanh'!$D14,'4. C.Tiết P.Án B.Thường'!$F$11:$F$20001,"&lt;&gt;"&amp;"Tạm ứng",'4. C.Tiết P.Án B.Thường'!$H$11:$H$20001,"",'4. C.Tiết P.Án B.Thường'!$G$11:$G$20001,"&lt;="&amp;'6. DS hộ  thu hồi GPMB nhanh'!$B14)+SUMIFS('4. C.Tiết P.Án B.Thường'!$O$11:$O$20001,'4. C.Tiết P.Án B.Thường'!$J$11:$J$20001,'6. DS hộ  thu hồi GPMB nhanh'!$E14,'4. C.Tiết P.Án B.Thường'!$K$11:$K$20001,'6. DS hộ  thu hồi GPMB nhanh'!$F14,'4. C.Tiết P.Án B.Thường'!$L$11:$L$20001,'6. DS hộ  thu hồi GPMB nhanh'!$G14,'4. C.Tiết P.Án B.Thường'!$M$11:$M$20001,'6. DS hộ  thu hồi GPMB nhanh'!$H14,'4. C.Tiết P.Án B.Thường'!$B$11:$B$20001,'6. DS hộ  thu hồi GPMB nhanh'!$C14,'4. C.Tiết P.Án B.Thường'!$H$11:$H$20001,"&lt;&gt;"&amp;"Tạm ứng",'4. C.Tiết P.Án B.Thường'!$H$11:$H$20001,"&lt;&gt;"&amp;"",'4. C.Tiết P.Án B.Thường'!$I$11:$I$20001,"&lt;="&amp;'6. DS hộ  thu hồi GPMB nhanh'!$B14))-SUMIFS('9. Thu, chi PABT'!$T$11:$T$20001,'9. Thu, chi PABT'!$J$11:$J$20001,'6. DS hộ  thu hồi GPMB nhanh'!$E14,'9. Thu, chi PABT'!$K$11:$K$20001,'6. DS hộ  thu hồi GPMB nhanh'!$F14,'9. Thu, chi PABT'!$L$11:$L$20001,'6. DS hộ  thu hồi GPMB nhanh'!$G14,'9. Thu, chi PABT'!$M$11:$M$20001,'6. DS hộ  thu hồi GPMB nhanh'!$H14,'9. Thu, chi PABT'!$B$11:$B$20001,'6. DS hộ  thu hồi GPMB nhanh'!$C14,'9. Thu, chi PABT'!$F$11:$F$20001,'6. DS hộ  thu hồi GPMB nhanh'!$D14,'9. Thu, chi PABT'!$F$11:$F$20001,"&lt;&gt;"&amp;"",'9. Thu, chi PABT'!$F$11:$F$20001,"&lt;&gt;"&amp;"Tạm ứng",'9. Thu, chi PABT'!$H$11:$H$20001,"&lt;&gt;"&amp;"Tạm ứng",'9. Thu, chi PABT'!$R$11:$R$20001,"&lt;"&amp;'6. DS hộ  thu hồi GPMB nhanh'!$B14)+SUMIFS('9. Thu, chi PABT'!$U$11:$U$20001,'9. Thu, chi PABT'!$J$11:$J$20001,'6. DS hộ  thu hồi GPMB nhanh'!$E14,'9. Thu, chi PABT'!$K$11:$K$20001,'6. DS hộ  thu hồi GPMB nhanh'!$F14,'9. Thu, chi PABT'!$L$11:$L$20001,'6. DS hộ  thu hồi GPMB nhanh'!$G14,'9. Thu, chi PABT'!$M$11:$M$20001,'6. DS hộ  thu hồi GPMB nhanh'!H14,'9. Thu, chi PABT'!$B$11:$B$20001,'6. DS hộ  thu hồi GPMB nhanh'!$C14,'9. Thu, chi PABT'!$F$11:$F$20001,"&lt;&gt;"&amp;"",'9. Thu, chi PABT'!$R$11:$R$20001,"&lt;"&amp;'6. DS hộ  thu hồi GPMB nhanh'!$B14)</f>
        <v>0</v>
      </c>
      <c r="J14" s="143"/>
      <c r="K14" s="129">
        <f>SUMIFS('9. Thu, chi PABT'!$U$11:$U$20001,'9. Thu, chi PABT'!$J$11:$J$20001,'6. DS hộ  thu hồi GPMB nhanh'!$E14,'9. Thu, chi PABT'!$K$11:$K$20001,'6. DS hộ  thu hồi GPMB nhanh'!$F14,'9. Thu, chi PABT'!$L$11:$L$20001,'6. DS hộ  thu hồi GPMB nhanh'!$G14,'9. Thu, chi PABT'!$M$11:$M$20001,'6. DS hộ  thu hồi GPMB nhanh'!H14,'9. Thu, chi PABT'!$B$11:$B$20001,'6. DS hộ  thu hồi GPMB nhanh'!$C14,'9. Thu, chi PABT'!$F$11:$F$20001,'6. DS hộ  thu hồi GPMB nhanh'!$D14,'9. Thu, chi PABT'!$R$11:$R$20001,'6. DS hộ  thu hồi GPMB nhanh'!$B14)</f>
        <v>0</v>
      </c>
      <c r="L14" s="130">
        <f t="shared" si="1"/>
        <v>0</v>
      </c>
      <c r="M14" s="86"/>
      <c r="N14" s="86" t="str">
        <f t="shared" si="0"/>
        <v/>
      </c>
    </row>
    <row r="15" spans="1:14" x14ac:dyDescent="0.25">
      <c r="A15" s="88">
        <v>7</v>
      </c>
      <c r="B15" s="88"/>
      <c r="C15" s="86"/>
      <c r="D15" s="86"/>
      <c r="E15" s="86"/>
      <c r="F15" s="86"/>
      <c r="G15" s="86"/>
      <c r="H15" s="86"/>
      <c r="I15" s="129">
        <f>(SUMIFS('4. C.Tiết P.Án B.Thường'!$O$11:$O$20001,'4. C.Tiết P.Án B.Thường'!$J$11:$J$20001,'6. DS hộ  thu hồi GPMB nhanh'!$E15,'4. C.Tiết P.Án B.Thường'!$K$11:$K$20001,'6. DS hộ  thu hồi GPMB nhanh'!$F15,'4. C.Tiết P.Án B.Thường'!$L$11:$L$20001,'6. DS hộ  thu hồi GPMB nhanh'!$G15,'4. C.Tiết P.Án B.Thường'!$M$11:$M$20001,'6. DS hộ  thu hồi GPMB nhanh'!$H15,'4. C.Tiết P.Án B.Thường'!$B$11:$B$20001,'6. DS hộ  thu hồi GPMB nhanh'!$C15,'4. C.Tiết P.Án B.Thường'!$F$11:$F$20001,'6. DS hộ  thu hồi GPMB nhanh'!$D15,'4. C.Tiết P.Án B.Thường'!$F$11:$F$20001,"&lt;&gt;"&amp;"Tạm ứng",'4. C.Tiết P.Án B.Thường'!$H$11:$H$20001,"",'4. C.Tiết P.Án B.Thường'!$G$11:$G$20001,"&lt;="&amp;'6. DS hộ  thu hồi GPMB nhanh'!$B15)+SUMIFS('4. C.Tiết P.Án B.Thường'!$O$11:$O$20001,'4. C.Tiết P.Án B.Thường'!$J$11:$J$20001,'6. DS hộ  thu hồi GPMB nhanh'!$E15,'4. C.Tiết P.Án B.Thường'!$K$11:$K$20001,'6. DS hộ  thu hồi GPMB nhanh'!$F15,'4. C.Tiết P.Án B.Thường'!$L$11:$L$20001,'6. DS hộ  thu hồi GPMB nhanh'!$G15,'4. C.Tiết P.Án B.Thường'!$M$11:$M$20001,'6. DS hộ  thu hồi GPMB nhanh'!$H15,'4. C.Tiết P.Án B.Thường'!$B$11:$B$20001,'6. DS hộ  thu hồi GPMB nhanh'!$C15,'4. C.Tiết P.Án B.Thường'!$H$11:$H$20001,"&lt;&gt;"&amp;"Tạm ứng",'4. C.Tiết P.Án B.Thường'!$H$11:$H$20001,"&lt;&gt;"&amp;"",'4. C.Tiết P.Án B.Thường'!$I$11:$I$20001,"&lt;="&amp;'6. DS hộ  thu hồi GPMB nhanh'!$B15))-SUMIFS('9. Thu, chi PABT'!$T$11:$T$20001,'9. Thu, chi PABT'!$J$11:$J$20001,'6. DS hộ  thu hồi GPMB nhanh'!$E15,'9. Thu, chi PABT'!$K$11:$K$20001,'6. DS hộ  thu hồi GPMB nhanh'!$F15,'9. Thu, chi PABT'!$L$11:$L$20001,'6. DS hộ  thu hồi GPMB nhanh'!$G15,'9. Thu, chi PABT'!$M$11:$M$20001,'6. DS hộ  thu hồi GPMB nhanh'!$H15,'9. Thu, chi PABT'!$B$11:$B$20001,'6. DS hộ  thu hồi GPMB nhanh'!$C15,'9. Thu, chi PABT'!$F$11:$F$20001,'6. DS hộ  thu hồi GPMB nhanh'!$D15,'9. Thu, chi PABT'!$F$11:$F$20001,"&lt;&gt;"&amp;"",'9. Thu, chi PABT'!$F$11:$F$20001,"&lt;&gt;"&amp;"Tạm ứng",'9. Thu, chi PABT'!$H$11:$H$20001,"&lt;&gt;"&amp;"Tạm ứng",'9. Thu, chi PABT'!$R$11:$R$20001,"&lt;"&amp;'6. DS hộ  thu hồi GPMB nhanh'!$B15)+SUMIFS('9. Thu, chi PABT'!$U$11:$U$20001,'9. Thu, chi PABT'!$J$11:$J$20001,'6. DS hộ  thu hồi GPMB nhanh'!$E15,'9. Thu, chi PABT'!$K$11:$K$20001,'6. DS hộ  thu hồi GPMB nhanh'!$F15,'9. Thu, chi PABT'!$L$11:$L$20001,'6. DS hộ  thu hồi GPMB nhanh'!$G15,'9. Thu, chi PABT'!$M$11:$M$20001,'6. DS hộ  thu hồi GPMB nhanh'!H15,'9. Thu, chi PABT'!$B$11:$B$20001,'6. DS hộ  thu hồi GPMB nhanh'!$C15,'9. Thu, chi PABT'!$F$11:$F$20001,"&lt;&gt;"&amp;"",'9. Thu, chi PABT'!$R$11:$R$20001,"&lt;"&amp;'6. DS hộ  thu hồi GPMB nhanh'!$B15)</f>
        <v>0</v>
      </c>
      <c r="J15" s="143"/>
      <c r="K15" s="129">
        <f>SUMIFS('9. Thu, chi PABT'!$U$11:$U$20001,'9. Thu, chi PABT'!$J$11:$J$20001,'6. DS hộ  thu hồi GPMB nhanh'!$E15,'9. Thu, chi PABT'!$K$11:$K$20001,'6. DS hộ  thu hồi GPMB nhanh'!$F15,'9. Thu, chi PABT'!$L$11:$L$20001,'6. DS hộ  thu hồi GPMB nhanh'!$G15,'9. Thu, chi PABT'!$M$11:$M$20001,'6. DS hộ  thu hồi GPMB nhanh'!H15,'9. Thu, chi PABT'!$B$11:$B$20001,'6. DS hộ  thu hồi GPMB nhanh'!$C15,'9. Thu, chi PABT'!$F$11:$F$20001,'6. DS hộ  thu hồi GPMB nhanh'!$D15,'9. Thu, chi PABT'!$R$11:$R$20001,'6. DS hộ  thu hồi GPMB nhanh'!$B15)</f>
        <v>0</v>
      </c>
      <c r="L15" s="130">
        <f t="shared" si="1"/>
        <v>0</v>
      </c>
      <c r="M15" s="86"/>
      <c r="N15" s="86" t="str">
        <f t="shared" si="0"/>
        <v/>
      </c>
    </row>
    <row r="16" spans="1:14" x14ac:dyDescent="0.25">
      <c r="A16" s="88">
        <v>8</v>
      </c>
      <c r="B16" s="88"/>
      <c r="C16" s="86"/>
      <c r="D16" s="86"/>
      <c r="E16" s="86"/>
      <c r="F16" s="86"/>
      <c r="G16" s="86"/>
      <c r="H16" s="86"/>
      <c r="I16" s="129">
        <f>(SUMIFS('4. C.Tiết P.Án B.Thường'!$O$11:$O$20001,'4. C.Tiết P.Án B.Thường'!$J$11:$J$20001,'6. DS hộ  thu hồi GPMB nhanh'!$E16,'4. C.Tiết P.Án B.Thường'!$K$11:$K$20001,'6. DS hộ  thu hồi GPMB nhanh'!$F16,'4. C.Tiết P.Án B.Thường'!$L$11:$L$20001,'6. DS hộ  thu hồi GPMB nhanh'!$G16,'4. C.Tiết P.Án B.Thường'!$M$11:$M$20001,'6. DS hộ  thu hồi GPMB nhanh'!$H16,'4. C.Tiết P.Án B.Thường'!$B$11:$B$20001,'6. DS hộ  thu hồi GPMB nhanh'!$C16,'4. C.Tiết P.Án B.Thường'!$F$11:$F$20001,'6. DS hộ  thu hồi GPMB nhanh'!$D16,'4. C.Tiết P.Án B.Thường'!$F$11:$F$20001,"&lt;&gt;"&amp;"Tạm ứng",'4. C.Tiết P.Án B.Thường'!$H$11:$H$20001,"",'4. C.Tiết P.Án B.Thường'!$G$11:$G$20001,"&lt;="&amp;'6. DS hộ  thu hồi GPMB nhanh'!$B16)+SUMIFS('4. C.Tiết P.Án B.Thường'!$O$11:$O$20001,'4. C.Tiết P.Án B.Thường'!$J$11:$J$20001,'6. DS hộ  thu hồi GPMB nhanh'!$E16,'4. C.Tiết P.Án B.Thường'!$K$11:$K$20001,'6. DS hộ  thu hồi GPMB nhanh'!$F16,'4. C.Tiết P.Án B.Thường'!$L$11:$L$20001,'6. DS hộ  thu hồi GPMB nhanh'!$G16,'4. C.Tiết P.Án B.Thường'!$M$11:$M$20001,'6. DS hộ  thu hồi GPMB nhanh'!$H16,'4. C.Tiết P.Án B.Thường'!$B$11:$B$20001,'6. DS hộ  thu hồi GPMB nhanh'!$C16,'4. C.Tiết P.Án B.Thường'!$H$11:$H$20001,"&lt;&gt;"&amp;"Tạm ứng",'4. C.Tiết P.Án B.Thường'!$H$11:$H$20001,"&lt;&gt;"&amp;"",'4. C.Tiết P.Án B.Thường'!$I$11:$I$20001,"&lt;="&amp;'6. DS hộ  thu hồi GPMB nhanh'!$B16))-SUMIFS('9. Thu, chi PABT'!$T$11:$T$20001,'9. Thu, chi PABT'!$J$11:$J$20001,'6. DS hộ  thu hồi GPMB nhanh'!$E16,'9. Thu, chi PABT'!$K$11:$K$20001,'6. DS hộ  thu hồi GPMB nhanh'!$F16,'9. Thu, chi PABT'!$L$11:$L$20001,'6. DS hộ  thu hồi GPMB nhanh'!$G16,'9. Thu, chi PABT'!$M$11:$M$20001,'6. DS hộ  thu hồi GPMB nhanh'!$H16,'9. Thu, chi PABT'!$B$11:$B$20001,'6. DS hộ  thu hồi GPMB nhanh'!$C16,'9. Thu, chi PABT'!$F$11:$F$20001,'6. DS hộ  thu hồi GPMB nhanh'!$D16,'9. Thu, chi PABT'!$F$11:$F$20001,"&lt;&gt;"&amp;"",'9. Thu, chi PABT'!$F$11:$F$20001,"&lt;&gt;"&amp;"Tạm ứng",'9. Thu, chi PABT'!$H$11:$H$20001,"&lt;&gt;"&amp;"Tạm ứng",'9. Thu, chi PABT'!$R$11:$R$20001,"&lt;"&amp;'6. DS hộ  thu hồi GPMB nhanh'!$B16)+SUMIFS('9. Thu, chi PABT'!$U$11:$U$20001,'9. Thu, chi PABT'!$J$11:$J$20001,'6. DS hộ  thu hồi GPMB nhanh'!$E16,'9. Thu, chi PABT'!$K$11:$K$20001,'6. DS hộ  thu hồi GPMB nhanh'!$F16,'9. Thu, chi PABT'!$L$11:$L$20001,'6. DS hộ  thu hồi GPMB nhanh'!$G16,'9. Thu, chi PABT'!$M$11:$M$20001,'6. DS hộ  thu hồi GPMB nhanh'!H16,'9. Thu, chi PABT'!$B$11:$B$20001,'6. DS hộ  thu hồi GPMB nhanh'!$C16,'9. Thu, chi PABT'!$F$11:$F$20001,"&lt;&gt;"&amp;"",'9. Thu, chi PABT'!$R$11:$R$20001,"&lt;"&amp;'6. DS hộ  thu hồi GPMB nhanh'!$B16)</f>
        <v>0</v>
      </c>
      <c r="J16" s="143"/>
      <c r="K16" s="129">
        <f>SUMIFS('9. Thu, chi PABT'!$U$11:$U$20001,'9. Thu, chi PABT'!$J$11:$J$20001,'6. DS hộ  thu hồi GPMB nhanh'!$E16,'9. Thu, chi PABT'!$K$11:$K$20001,'6. DS hộ  thu hồi GPMB nhanh'!$F16,'9. Thu, chi PABT'!$L$11:$L$20001,'6. DS hộ  thu hồi GPMB nhanh'!$G16,'9. Thu, chi PABT'!$M$11:$M$20001,'6. DS hộ  thu hồi GPMB nhanh'!H16,'9. Thu, chi PABT'!$B$11:$B$20001,'6. DS hộ  thu hồi GPMB nhanh'!$C16,'9. Thu, chi PABT'!$F$11:$F$20001,'6. DS hộ  thu hồi GPMB nhanh'!$D16,'9. Thu, chi PABT'!$R$11:$R$20001,'6. DS hộ  thu hồi GPMB nhanh'!$B16)</f>
        <v>0</v>
      </c>
      <c r="L16" s="130">
        <f t="shared" si="1"/>
        <v>0</v>
      </c>
      <c r="M16" s="86"/>
      <c r="N16" s="86" t="str">
        <f t="shared" si="0"/>
        <v/>
      </c>
    </row>
    <row r="17" spans="1:14" x14ac:dyDescent="0.25">
      <c r="A17" s="88">
        <v>9</v>
      </c>
      <c r="B17" s="88"/>
      <c r="C17" s="86"/>
      <c r="D17" s="86"/>
      <c r="E17" s="86"/>
      <c r="F17" s="86"/>
      <c r="G17" s="86"/>
      <c r="H17" s="86"/>
      <c r="I17" s="129">
        <f>(SUMIFS('4. C.Tiết P.Án B.Thường'!$O$11:$O$20001,'4. C.Tiết P.Án B.Thường'!$J$11:$J$20001,'6. DS hộ  thu hồi GPMB nhanh'!$E17,'4. C.Tiết P.Án B.Thường'!$K$11:$K$20001,'6. DS hộ  thu hồi GPMB nhanh'!$F17,'4. C.Tiết P.Án B.Thường'!$L$11:$L$20001,'6. DS hộ  thu hồi GPMB nhanh'!$G17,'4. C.Tiết P.Án B.Thường'!$M$11:$M$20001,'6. DS hộ  thu hồi GPMB nhanh'!$H17,'4. C.Tiết P.Án B.Thường'!$B$11:$B$20001,'6. DS hộ  thu hồi GPMB nhanh'!$C17,'4. C.Tiết P.Án B.Thường'!$F$11:$F$20001,'6. DS hộ  thu hồi GPMB nhanh'!$D17,'4. C.Tiết P.Án B.Thường'!$F$11:$F$20001,"&lt;&gt;"&amp;"Tạm ứng",'4. C.Tiết P.Án B.Thường'!$H$11:$H$20001,"",'4. C.Tiết P.Án B.Thường'!$G$11:$G$20001,"&lt;="&amp;'6. DS hộ  thu hồi GPMB nhanh'!$B17)+SUMIFS('4. C.Tiết P.Án B.Thường'!$O$11:$O$20001,'4. C.Tiết P.Án B.Thường'!$J$11:$J$20001,'6. DS hộ  thu hồi GPMB nhanh'!$E17,'4. C.Tiết P.Án B.Thường'!$K$11:$K$20001,'6. DS hộ  thu hồi GPMB nhanh'!$F17,'4. C.Tiết P.Án B.Thường'!$L$11:$L$20001,'6. DS hộ  thu hồi GPMB nhanh'!$G17,'4. C.Tiết P.Án B.Thường'!$M$11:$M$20001,'6. DS hộ  thu hồi GPMB nhanh'!$H17,'4. C.Tiết P.Án B.Thường'!$B$11:$B$20001,'6. DS hộ  thu hồi GPMB nhanh'!$C17,'4. C.Tiết P.Án B.Thường'!$H$11:$H$20001,"&lt;&gt;"&amp;"Tạm ứng",'4. C.Tiết P.Án B.Thường'!$H$11:$H$20001,"&lt;&gt;"&amp;"",'4. C.Tiết P.Án B.Thường'!$I$11:$I$20001,"&lt;="&amp;'6. DS hộ  thu hồi GPMB nhanh'!$B17))-SUMIFS('9. Thu, chi PABT'!$T$11:$T$20001,'9. Thu, chi PABT'!$J$11:$J$20001,'6. DS hộ  thu hồi GPMB nhanh'!$E17,'9. Thu, chi PABT'!$K$11:$K$20001,'6. DS hộ  thu hồi GPMB nhanh'!$F17,'9. Thu, chi PABT'!$L$11:$L$20001,'6. DS hộ  thu hồi GPMB nhanh'!$G17,'9. Thu, chi PABT'!$M$11:$M$20001,'6. DS hộ  thu hồi GPMB nhanh'!$H17,'9. Thu, chi PABT'!$B$11:$B$20001,'6. DS hộ  thu hồi GPMB nhanh'!$C17,'9. Thu, chi PABT'!$F$11:$F$20001,'6. DS hộ  thu hồi GPMB nhanh'!$D17,'9. Thu, chi PABT'!$F$11:$F$20001,"&lt;&gt;"&amp;"",'9. Thu, chi PABT'!$F$11:$F$20001,"&lt;&gt;"&amp;"Tạm ứng",'9. Thu, chi PABT'!$H$11:$H$20001,"&lt;&gt;"&amp;"Tạm ứng",'9. Thu, chi PABT'!$R$11:$R$20001,"&lt;"&amp;'6. DS hộ  thu hồi GPMB nhanh'!$B17)+SUMIFS('9. Thu, chi PABT'!$U$11:$U$20001,'9. Thu, chi PABT'!$J$11:$J$20001,'6. DS hộ  thu hồi GPMB nhanh'!$E17,'9. Thu, chi PABT'!$K$11:$K$20001,'6. DS hộ  thu hồi GPMB nhanh'!$F17,'9. Thu, chi PABT'!$L$11:$L$20001,'6. DS hộ  thu hồi GPMB nhanh'!$G17,'9. Thu, chi PABT'!$M$11:$M$20001,'6. DS hộ  thu hồi GPMB nhanh'!H17,'9. Thu, chi PABT'!$B$11:$B$20001,'6. DS hộ  thu hồi GPMB nhanh'!$C17,'9. Thu, chi PABT'!$F$11:$F$20001,"&lt;&gt;"&amp;"",'9. Thu, chi PABT'!$R$11:$R$20001,"&lt;"&amp;'6. DS hộ  thu hồi GPMB nhanh'!$B17)</f>
        <v>0</v>
      </c>
      <c r="J17" s="143"/>
      <c r="K17" s="129">
        <f>SUMIFS('9. Thu, chi PABT'!$U$11:$U$20001,'9. Thu, chi PABT'!$J$11:$J$20001,'6. DS hộ  thu hồi GPMB nhanh'!$E17,'9. Thu, chi PABT'!$K$11:$K$20001,'6. DS hộ  thu hồi GPMB nhanh'!$F17,'9. Thu, chi PABT'!$L$11:$L$20001,'6. DS hộ  thu hồi GPMB nhanh'!$G17,'9. Thu, chi PABT'!$M$11:$M$20001,'6. DS hộ  thu hồi GPMB nhanh'!H17,'9. Thu, chi PABT'!$B$11:$B$20001,'6. DS hộ  thu hồi GPMB nhanh'!$C17,'9. Thu, chi PABT'!$F$11:$F$20001,'6. DS hộ  thu hồi GPMB nhanh'!$D17,'9. Thu, chi PABT'!$R$11:$R$20001,'6. DS hộ  thu hồi GPMB nhanh'!$B17)</f>
        <v>0</v>
      </c>
      <c r="L17" s="130">
        <f t="shared" si="1"/>
        <v>0</v>
      </c>
      <c r="M17" s="86"/>
      <c r="N17" s="86" t="str">
        <f t="shared" si="0"/>
        <v/>
      </c>
    </row>
    <row r="19" spans="1:14" x14ac:dyDescent="0.25">
      <c r="E19" s="89" t="s">
        <v>360</v>
      </c>
    </row>
    <row r="22" spans="1:14" x14ac:dyDescent="0.25">
      <c r="D22" s="16"/>
      <c r="E22" s="16"/>
    </row>
  </sheetData>
  <mergeCells count="7">
    <mergeCell ref="E9:H9"/>
    <mergeCell ref="A1:F1"/>
    <mergeCell ref="A2:F2"/>
    <mergeCell ref="A4:N4"/>
    <mergeCell ref="A6:D6"/>
    <mergeCell ref="E6:H6"/>
    <mergeCell ref="I6:N6"/>
  </mergeCells>
  <dataValidations count="7">
    <dataValidation type="list" allowBlank="1" showInputMessage="1" showErrorMessage="1" sqref="H10:H17" xr:uid="{71F657DD-C64B-4AA1-BC3C-03C22D1E761E}">
      <formula1>DSPHAITHUHOI_CMT_CCCD</formula1>
    </dataValidation>
    <dataValidation type="list" allowBlank="1" showInputMessage="1" showErrorMessage="1" sqref="G10:G17" xr:uid="{8CB6C6EE-F063-4A29-9AB1-816549EC5955}">
      <formula1>DSPHAITHUHOI_Khu_Thôn</formula1>
    </dataValidation>
    <dataValidation type="list" allowBlank="1" showInputMessage="1" showErrorMessage="1" sqref="F10:F17" xr:uid="{EECD5DA6-42FB-4C74-AA49-771F8813A1A9}">
      <formula1>DSPHAITHUHOI_Xã_Phường</formula1>
    </dataValidation>
    <dataValidation type="list" allowBlank="1" showInputMessage="1" showErrorMessage="1" sqref="E10:E17" xr:uid="{77CC4A0F-0545-4FFB-A76E-7E5B1046DCE9}">
      <formula1>DSPHAITHUHOI_Họ_Tên</formula1>
    </dataValidation>
    <dataValidation type="list" allowBlank="1" showInputMessage="1" showErrorMessage="1" sqref="D10:D17" xr:uid="{F05EB618-1BF5-4BB8-9F56-667424A718E4}">
      <formula1>DSPHAITHUHOI_QĐGPMBNHANH_Gốc</formula1>
    </dataValidation>
    <dataValidation type="list" allowBlank="1" showInputMessage="1" showErrorMessage="1" sqref="M10:M17" xr:uid="{31B48D4B-B904-4312-866C-F7338779316A}">
      <formula1>"Thu hồi, Không thu hồi"</formula1>
    </dataValidation>
    <dataValidation type="list" allowBlank="1" showInputMessage="1" showErrorMessage="1" sqref="C10:C17" xr:uid="{AED98A31-2CEE-4A14-9AFB-4B53FDE89DAA}">
      <formula1>Số_QĐ_phương_án_bồi_thường_gốc</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C21-C5C5-4159-9F4A-70F52154E422}">
  <sheetPr>
    <tabColor rgb="FFFF0000"/>
  </sheetPr>
  <dimension ref="A1:R26"/>
  <sheetViews>
    <sheetView zoomScaleNormal="100" workbookViewId="0">
      <selection activeCell="O8" sqref="O8"/>
    </sheetView>
  </sheetViews>
  <sheetFormatPr defaultColWidth="8.85546875" defaultRowHeight="12.75" x14ac:dyDescent="0.25"/>
  <cols>
    <col min="1" max="1" width="22.140625" style="16" customWidth="1"/>
    <col min="2" max="2" width="9.85546875" style="17" customWidth="1"/>
    <col min="3" max="3" width="11.5703125" style="13" bestFit="1" customWidth="1"/>
    <col min="4" max="4" width="9.28515625" style="13" customWidth="1"/>
    <col min="5" max="5" width="18.42578125" style="13" customWidth="1"/>
    <col min="6" max="7" width="12.5703125" style="13" customWidth="1"/>
    <col min="8" max="8" width="12.5703125" style="95" customWidth="1"/>
    <col min="9" max="9" width="15.140625" style="100" customWidth="1"/>
    <col min="10" max="10" width="15.140625" style="50" customWidth="1"/>
    <col min="11" max="13" width="15.140625" style="96" customWidth="1"/>
    <col min="14" max="14" width="15.140625" style="50" customWidth="1"/>
    <col min="15" max="15" width="15.140625" style="102" customWidth="1"/>
    <col min="16" max="18" width="15.140625" style="51" customWidth="1"/>
    <col min="19" max="16384" width="8.85546875" style="16"/>
  </cols>
  <sheetData>
    <row r="1" spans="1:18" x14ac:dyDescent="0.25">
      <c r="A1" s="169" t="s">
        <v>9</v>
      </c>
      <c r="B1" s="169"/>
      <c r="C1" s="169"/>
      <c r="D1" s="169"/>
      <c r="E1" s="169"/>
      <c r="F1" s="169"/>
      <c r="G1" s="43"/>
      <c r="H1" s="91"/>
      <c r="I1" s="43"/>
      <c r="J1" s="43"/>
      <c r="K1" s="93"/>
      <c r="L1" s="93"/>
      <c r="M1" s="93"/>
      <c r="P1" s="92"/>
      <c r="Q1" s="92"/>
    </row>
    <row r="2" spans="1:18" x14ac:dyDescent="0.25">
      <c r="A2" s="169" t="s">
        <v>10</v>
      </c>
      <c r="B2" s="169"/>
      <c r="C2" s="169"/>
      <c r="D2" s="169"/>
      <c r="E2" s="169"/>
      <c r="F2" s="169"/>
      <c r="G2" s="43"/>
      <c r="H2" s="91"/>
      <c r="I2" s="43"/>
      <c r="J2" s="43"/>
      <c r="K2" s="93"/>
      <c r="L2" s="93"/>
      <c r="M2" s="93"/>
      <c r="P2" s="92"/>
      <c r="Q2" s="92"/>
    </row>
    <row r="3" spans="1:18" x14ac:dyDescent="0.25">
      <c r="B3" s="26"/>
      <c r="E3" s="69"/>
      <c r="F3" s="94"/>
      <c r="G3" s="69"/>
      <c r="I3" s="69"/>
      <c r="J3" s="69"/>
    </row>
    <row r="4" spans="1:18" ht="15.6" customHeight="1" x14ac:dyDescent="0.25">
      <c r="A4" s="169" t="s">
        <v>194</v>
      </c>
      <c r="B4" s="169"/>
      <c r="C4" s="169"/>
      <c r="D4" s="169"/>
      <c r="E4" s="169"/>
      <c r="F4" s="169"/>
      <c r="G4" s="169"/>
      <c r="H4" s="169"/>
      <c r="I4" s="169"/>
      <c r="J4" s="169"/>
      <c r="K4" s="169"/>
      <c r="L4" s="169"/>
      <c r="M4" s="169"/>
      <c r="N4" s="169"/>
      <c r="O4" s="169"/>
      <c r="P4" s="169"/>
      <c r="Q4" s="169"/>
      <c r="R4" s="169"/>
    </row>
    <row r="5" spans="1:18" x14ac:dyDescent="0.25">
      <c r="I5" s="50"/>
    </row>
    <row r="6" spans="1:18" ht="51" x14ac:dyDescent="0.25">
      <c r="A6" s="8" t="s">
        <v>0</v>
      </c>
      <c r="B6" s="9" t="s">
        <v>134</v>
      </c>
      <c r="C6" s="8" t="s">
        <v>200</v>
      </c>
      <c r="D6" s="8" t="s">
        <v>239</v>
      </c>
      <c r="E6" s="4" t="s">
        <v>36</v>
      </c>
      <c r="F6" s="4" t="s">
        <v>133</v>
      </c>
      <c r="G6" s="5" t="s">
        <v>154</v>
      </c>
      <c r="H6" s="5" t="s">
        <v>82</v>
      </c>
      <c r="I6" s="104" t="s">
        <v>229</v>
      </c>
      <c r="J6" s="104" t="s">
        <v>230</v>
      </c>
      <c r="K6" s="104" t="s">
        <v>231</v>
      </c>
      <c r="L6" s="116" t="s">
        <v>232</v>
      </c>
      <c r="M6" s="104" t="s">
        <v>233</v>
      </c>
      <c r="N6" s="104" t="s">
        <v>234</v>
      </c>
      <c r="O6" s="123" t="s">
        <v>235</v>
      </c>
      <c r="P6" s="104" t="s">
        <v>236</v>
      </c>
      <c r="Q6" s="104" t="s">
        <v>237</v>
      </c>
      <c r="R6" s="104" t="s">
        <v>238</v>
      </c>
    </row>
    <row r="7" spans="1:18" x14ac:dyDescent="0.25">
      <c r="A7" s="30"/>
      <c r="B7" s="31"/>
      <c r="C7" s="30"/>
      <c r="D7" s="30"/>
      <c r="E7" s="30"/>
      <c r="F7" s="30"/>
      <c r="G7" s="30"/>
      <c r="H7" s="99"/>
      <c r="I7" s="38">
        <f>SUBTOTAL(9,I10:I19990)</f>
        <v>10000000000</v>
      </c>
      <c r="J7" s="38">
        <f>SUBTOTAL(9,J10:J19990)</f>
        <v>300000000</v>
      </c>
      <c r="K7" s="38">
        <f>SUBTOTAL(9,K10:K19990)</f>
        <v>5800000000</v>
      </c>
      <c r="L7" s="38"/>
      <c r="M7" s="38"/>
      <c r="N7" s="38">
        <f>SUBTOTAL(9,N10:N19990)</f>
        <v>4310000000</v>
      </c>
      <c r="O7" s="38">
        <f>SUBTOTAL(9,O10:O19990)</f>
        <v>4570000000</v>
      </c>
      <c r="P7" s="38">
        <f>SUBTOTAL(9,P10:P19990)</f>
        <v>4600000000</v>
      </c>
      <c r="Q7" s="38"/>
      <c r="R7" s="144"/>
    </row>
    <row r="8" spans="1:18" x14ac:dyDescent="0.25">
      <c r="A8" s="7" t="s">
        <v>365</v>
      </c>
      <c r="B8" s="7"/>
      <c r="C8" s="7"/>
      <c r="D8" s="7"/>
      <c r="E8" s="7"/>
      <c r="F8" s="7"/>
      <c r="G8" s="7"/>
      <c r="H8" s="7"/>
      <c r="I8" s="7"/>
      <c r="J8" s="7"/>
      <c r="K8" s="7"/>
      <c r="L8" s="7"/>
      <c r="M8" s="7"/>
      <c r="N8" s="7"/>
      <c r="O8" s="7" t="s">
        <v>364</v>
      </c>
      <c r="P8" s="7"/>
      <c r="Q8" s="7"/>
      <c r="R8" s="7"/>
    </row>
    <row r="9" spans="1:18" ht="25.5" x14ac:dyDescent="0.25">
      <c r="A9" s="7"/>
      <c r="B9" s="7" t="s">
        <v>367</v>
      </c>
      <c r="C9" s="7" t="s">
        <v>323</v>
      </c>
      <c r="D9" s="7" t="s">
        <v>334</v>
      </c>
      <c r="E9" s="204" t="s">
        <v>363</v>
      </c>
      <c r="F9" s="200"/>
      <c r="G9" s="200"/>
      <c r="H9" s="205"/>
      <c r="I9" s="7"/>
      <c r="J9" s="7"/>
      <c r="K9" s="7"/>
      <c r="L9" s="7"/>
      <c r="M9" s="7"/>
      <c r="N9" s="7"/>
      <c r="O9" s="7"/>
      <c r="P9" s="7"/>
      <c r="Q9" s="7"/>
      <c r="R9" s="7"/>
    </row>
    <row r="10" spans="1:18" ht="17.45" customHeight="1" x14ac:dyDescent="0.25">
      <c r="A10" s="7">
        <v>1</v>
      </c>
      <c r="B10" s="67">
        <v>45292</v>
      </c>
      <c r="C10" s="8" t="s">
        <v>136</v>
      </c>
      <c r="D10" s="8"/>
      <c r="E10" s="8" t="s">
        <v>110</v>
      </c>
      <c r="F10" s="8" t="s">
        <v>152</v>
      </c>
      <c r="G10" s="8" t="s">
        <v>112</v>
      </c>
      <c r="H10" s="97" t="s">
        <v>114</v>
      </c>
      <c r="I10" s="132">
        <f>SUMIFS('4. C.Tiết P.Án B.Thường'!$N$11:$N$19956,'4. C.Tiết P.Án B.Thường'!$J$11:$J$19956,'7. D.Kiến thu, chi PABT'!$E10,'4. C.Tiết P.Án B.Thường'!$K$11:$K$19956,'7. D.Kiến thu, chi PABT'!$F10,'4. C.Tiết P.Án B.Thường'!$L$11:$L$19956,'7. D.Kiến thu, chi PABT'!$G10,'4. C.Tiết P.Án B.Thường'!$M$11:$M$19956,'7. D.Kiến thu, chi PABT'!$H10,'4. C.Tiết P.Án B.Thường'!$B$11:$B$19956,'7. D.Kiến thu, chi PABT'!$C10,'4. C.Tiết P.Án B.Thường'!$B$11:$B$19956,"&lt;&gt;"&amp;"Tạm ứng",'4. C.Tiết P.Án B.Thường'!$D$11:$D$19956,"",'4. C.Tiết P.Án B.Thường'!$C$11:$C$19956,"&lt;="&amp;'7. D.Kiến thu, chi PABT'!$B10)+SUMIFS('4. C.Tiết P.Án B.Thường'!$N$11:$N$19956,'4. C.Tiết P.Án B.Thường'!$J$11:$J$19956,'7. D.Kiến thu, chi PABT'!$E10,'4. C.Tiết P.Án B.Thường'!$K$11:$K$19956,'7. D.Kiến thu, chi PABT'!$F10,'4. C.Tiết P.Án B.Thường'!$L$11:$L$19956,'7. D.Kiến thu, chi PABT'!$G10,'4. C.Tiết P.Án B.Thường'!$M$11:$M$19956,'7. D.Kiến thu, chi PABT'!$H10,'4. C.Tiết P.Án B.Thường'!$B$11:$B$19956,'7. D.Kiến thu, chi PABT'!$C10,'4. C.Tiết P.Án B.Thường'!$D$11:$D$19956,"&lt;&gt;"&amp;"",'4. C.Tiết P.Án B.Thường'!$D$11:$D$19956,"&lt;&gt;"&amp;"Tạm ứng",'4. C.Tiết P.Án B.Thường'!$E$11:$E$19956,"&lt;="&amp;'7. D.Kiến thu, chi PABT'!$B10)</f>
        <v>0</v>
      </c>
      <c r="J10" s="98">
        <f>SUMIFS('9. Thu, chi PABT'!$T$11:$T$20001,'9. Thu, chi PABT'!$J$11:$J$20001,'7. D.Kiến thu, chi PABT'!$E10,'9. Thu, chi PABT'!$K$11:$K$20001,'7. D.Kiến thu, chi PABT'!$F10,'9. Thu, chi PABT'!$L$11:$L$20001,'7. D.Kiến thu, chi PABT'!$G10,'9. Thu, chi PABT'!$M$11:$M$20001,'7. D.Kiến thu, chi PABT'!$H10,'9. Thu, chi PABT'!$B$11:$B$20001,'7. D.Kiến thu, chi PABT'!$C10,'9. Thu, chi PABT'!$B$11:$B$20001,"Tạm ứng",'9. Thu, chi PABT'!$R$11:$R$20001,"&lt;"&amp;'7. D.Kiến thu, chi PABT'!$B10)+SUMIFS('9. Thu, chi PABT'!$T$11:$T$20001,'9. Thu, chi PABT'!$J$11:$J$20001,'7. D.Kiến thu, chi PABT'!$E10,'9. Thu, chi PABT'!$K$11:$K$20001,'7. D.Kiến thu, chi PABT'!$F10,'9. Thu, chi PABT'!$L$11:$L$20001,'7. D.Kiến thu, chi PABT'!$G10,'9. Thu, chi PABT'!$M$11:$M$20001,'7. D.Kiến thu, chi PABT'!$H10,'9. Thu, chi PABT'!$B$11:$B$20001,'7. D.Kiến thu, chi PABT'!$C10,'9. Thu, chi PABT'!$D$11:$D$20001,"Tạm ứng",'9. Thu, chi PABT'!$R$11:$R$20001,"&lt;"&amp;'7. D.Kiến thu, chi PABT'!$B10)</f>
        <v>0</v>
      </c>
      <c r="K10" s="98">
        <f>SUMIFS('9. Thu, chi PABT'!$T$11:$T$20001,'9. Thu, chi PABT'!$J$11:$J$20001,'7. D.Kiến thu, chi PABT'!$E10,'9. Thu, chi PABT'!$K$11:$K$20001,'7. D.Kiến thu, chi PABT'!$F10,'9. Thu, chi PABT'!$L$11:$L$20001,'7. D.Kiến thu, chi PABT'!$G10,'9. Thu, chi PABT'!$M$11:$M$20001,'7. D.Kiến thu, chi PABT'!$H10,'9. Thu, chi PABT'!$B$11:$B$20001,'7. D.Kiến thu, chi PABT'!$C10,'9. Thu, chi PABT'!$B$11:$B$20001,"&lt;&gt;"&amp;"Tạm ứng",'9. Thu, chi PABT'!$D$11:$D$20001,"&lt;&gt;"&amp;"Tạm ứng",'9. Thu, chi PABT'!$F$11:$F$20001,"",'9. Thu, chi PABT'!$R$11:$R$20001,"&lt;"&amp;'7. D.Kiến thu, chi PABT'!$B10)-SUMIFS('9. Thu, chi PABT'!$U$11:$U$20003,'9. Thu, chi PABT'!$J$11:$J$20003,'7. D.Kiến thu, chi PABT'!$E10,'9. Thu, chi PABT'!$K$11:$K$20003,'7. D.Kiến thu, chi PABT'!$F10,'9. Thu, chi PABT'!$L$11:$L$20003,'7. D.Kiến thu, chi PABT'!$G10,'9. Thu, chi PABT'!$M$11:$M$20003,'7. D.Kiến thu, chi PABT'!$H10,'9. Thu, chi PABT'!$B$11:$B$20003,'7. D.Kiến thu, chi PABT'!$C10,'9. Thu, chi PABT'!$F$11:$F$20003,"",'9. Thu, chi PABT'!$R$11:$R$20003,"&lt;"&amp;'7. D.Kiến thu, chi PABT'!$B10)</f>
        <v>0</v>
      </c>
      <c r="L10" s="98">
        <f>SUMIFS('5. DS hộ thu hồi PABT'!$H$10:$H$20000,'5. DS hộ thu hồi PABT'!$D$10:$D$20000,'7. D.Kiến thu, chi PABT'!$E10,'5. DS hộ thu hồi PABT'!$E$10:$E$20000,'7. D.Kiến thu, chi PABT'!$F10,'5. DS hộ thu hồi PABT'!$F$10:$F$20000,'7. D.Kiến thu, chi PABT'!$G10,'5. DS hộ thu hồi PABT'!$G$10:$G$20000,'7. D.Kiến thu, chi PABT'!$H10,'5. DS hộ thu hồi PABT'!$L$10:$L$20000,"Thu hồi",'5. DS hộ thu hồi PABT'!$B$10:$B$20000,'7. D.Kiến thu, chi PABT'!$B10,'5. DS hộ thu hồi PABT'!$C$10:$C$20000,'7. D.Kiến thu, chi PABT'!$C10)</f>
        <v>0</v>
      </c>
      <c r="M10" s="98">
        <f>SUMIFS('5. DS hộ thu hồi PABT'!$I$10:$I$20002,'5. DS hộ thu hồi PABT'!$D$10:$D$20002,'7. D.Kiến thu, chi PABT'!$E10,'5. DS hộ thu hồi PABT'!$E$10:$E$20002,'7. D.Kiến thu, chi PABT'!$F10,'5. DS hộ thu hồi PABT'!$F$10:$F$20002,'7. D.Kiến thu, chi PABT'!$G10,'5. DS hộ thu hồi PABT'!$G$10:$G$20002,'7. D.Kiến thu, chi PABT'!$H10,'5. DS hộ thu hồi PABT'!$C$10:$C$20002,'7. D.Kiến thu, chi PABT'!$C10,'5. DS hộ thu hồi PABT'!$B$10:$B$20002,'7. D.Kiến thu, chi PABT'!$B10,'5. DS hộ thu hồi PABT'!$L$10:$L$20002,"Thu hồi")</f>
        <v>0</v>
      </c>
      <c r="N10" s="125">
        <f>(I10-K10)+M10</f>
        <v>0</v>
      </c>
      <c r="O10" s="133">
        <v>100000000</v>
      </c>
      <c r="P10" s="98">
        <f>SUMIFS('9. Thu, chi PABT'!$T$11:$T$20001,'9. Thu, chi PABT'!$J$11:$J$20001,'7. D.Kiến thu, chi PABT'!$E10,'9. Thu, chi PABT'!$K$11:$K$20001,'7. D.Kiến thu, chi PABT'!$F10,'9. Thu, chi PABT'!$L$11:$L$20001,'7. D.Kiến thu, chi PABT'!$G10,'9. Thu, chi PABT'!$M$11:$M$20001,'7. D.Kiến thu, chi PABT'!$H10,'9. Thu, chi PABT'!$B$11:$B$20001,'7. D.Kiến thu, chi PABT'!$C10,'9. Thu, chi PABT'!$F$11:$F$20001,"",'9. Thu, chi PABT'!$D$11:$D$20001,IF('7. D.Kiến thu, chi PABT'!$D10="","",$D10),'9. Thu, chi PABT'!$R$11:$R$20001,"="&amp;'7. D.Kiến thu, chi PABT'!$B10)</f>
        <v>100000000</v>
      </c>
      <c r="Q10" s="98">
        <f>SUMIFS('9. Thu, chi PABT'!$U$11:$U$20003,'9. Thu, chi PABT'!$J$11:$J$20003,'7. D.Kiến thu, chi PABT'!$E10,'9. Thu, chi PABT'!$K$11:$K$20003,'7. D.Kiến thu, chi PABT'!$F10,'9. Thu, chi PABT'!$L$11:$L$20003,'7. D.Kiến thu, chi PABT'!$G10,'9. Thu, chi PABT'!$M$11:$M$20003,'7. D.Kiến thu, chi PABT'!$H10,'9. Thu, chi PABT'!$B$11:$B$20003,'7. D.Kiến thu, chi PABT'!$C10,'9. Thu, chi PABT'!$R$11:$R$20003,"="&amp;'7. D.Kiến thu, chi PABT'!$B10)</f>
        <v>0</v>
      </c>
      <c r="R10" s="41">
        <f>IF(OR(P10&gt;0,Q10&gt;0),(I10-K10-P10)+Q10,N10-O10)</f>
        <v>-100000000</v>
      </c>
    </row>
    <row r="11" spans="1:18" ht="17.45" customHeight="1" x14ac:dyDescent="0.25">
      <c r="A11" s="7">
        <v>2</v>
      </c>
      <c r="B11" s="67">
        <v>45328</v>
      </c>
      <c r="C11" s="8">
        <v>110</v>
      </c>
      <c r="D11" s="8"/>
      <c r="E11" s="8" t="s">
        <v>110</v>
      </c>
      <c r="F11" s="8" t="s">
        <v>152</v>
      </c>
      <c r="G11" s="8" t="s">
        <v>112</v>
      </c>
      <c r="H11" s="97" t="s">
        <v>114</v>
      </c>
      <c r="I11" s="132">
        <f>SUMIFS('4. C.Tiết P.Án B.Thường'!$N$11:$N$19956,'4. C.Tiết P.Án B.Thường'!$J$11:$J$19956,'7. D.Kiến thu, chi PABT'!$E11,'4. C.Tiết P.Án B.Thường'!$K$11:$K$19956,'7. D.Kiến thu, chi PABT'!$F11,'4. C.Tiết P.Án B.Thường'!$L$11:$L$19956,'7. D.Kiến thu, chi PABT'!$G11,'4. C.Tiết P.Án B.Thường'!$M$11:$M$19956,'7. D.Kiến thu, chi PABT'!$H11,'4. C.Tiết P.Án B.Thường'!$B$11:$B$19956,'7. D.Kiến thu, chi PABT'!$C11,'4. C.Tiết P.Án B.Thường'!$B$11:$B$19956,"&lt;&gt;"&amp;"Tạm ứng",'4. C.Tiết P.Án B.Thường'!$D$11:$D$19956,"",'4. C.Tiết P.Án B.Thường'!$C$11:$C$19956,"&lt;="&amp;'7. D.Kiến thu, chi PABT'!$B11)+SUMIFS('4. C.Tiết P.Án B.Thường'!$N$11:$N$19956,'4. C.Tiết P.Án B.Thường'!$J$11:$J$19956,'7. D.Kiến thu, chi PABT'!$E11,'4. C.Tiết P.Án B.Thường'!$K$11:$K$19956,'7. D.Kiến thu, chi PABT'!$F11,'4. C.Tiết P.Án B.Thường'!$L$11:$L$19956,'7. D.Kiến thu, chi PABT'!$G11,'4. C.Tiết P.Án B.Thường'!$M$11:$M$19956,'7. D.Kiến thu, chi PABT'!$H11,'4. C.Tiết P.Án B.Thường'!$B$11:$B$19956,'7. D.Kiến thu, chi PABT'!$C11,'4. C.Tiết P.Án B.Thường'!$D$11:$D$19956,"&lt;&gt;"&amp;"",'4. C.Tiết P.Án B.Thường'!$D$11:$D$19956,"&lt;&gt;"&amp;"Tạm ứng",'4. C.Tiết P.Án B.Thường'!$E$11:$E$19956,"&lt;="&amp;'7. D.Kiến thu, chi PABT'!$B11)</f>
        <v>0</v>
      </c>
      <c r="J11" s="98">
        <f>SUMIFS('9. Thu, chi PABT'!$T$11:$T$20001,'9. Thu, chi PABT'!$J$11:$J$20001,'7. D.Kiến thu, chi PABT'!$E11,'9. Thu, chi PABT'!$K$11:$K$20001,'7. D.Kiến thu, chi PABT'!$F11,'9. Thu, chi PABT'!$L$11:$L$20001,'7. D.Kiến thu, chi PABT'!$G11,'9. Thu, chi PABT'!$M$11:$M$20001,'7. D.Kiến thu, chi PABT'!$H11,'9. Thu, chi PABT'!$B$11:$B$20001,'7. D.Kiến thu, chi PABT'!$C11,'9. Thu, chi PABT'!$B$11:$B$20001,"Tạm ứng",'9. Thu, chi PABT'!$R$11:$R$20001,"&lt;"&amp;'7. D.Kiến thu, chi PABT'!$B11)+SUMIFS('9. Thu, chi PABT'!$T$11:$T$20001,'9. Thu, chi PABT'!$J$11:$J$20001,'7. D.Kiến thu, chi PABT'!$E11,'9. Thu, chi PABT'!$K$11:$K$20001,'7. D.Kiến thu, chi PABT'!$F11,'9. Thu, chi PABT'!$L$11:$L$20001,'7. D.Kiến thu, chi PABT'!$G11,'9. Thu, chi PABT'!$M$11:$M$20001,'7. D.Kiến thu, chi PABT'!$H11,'9. Thu, chi PABT'!$B$11:$B$20001,'7. D.Kiến thu, chi PABT'!$C11,'9. Thu, chi PABT'!$D$11:$D$20001,"Tạm ứng",'9. Thu, chi PABT'!$R$11:$R$20001,"&lt;"&amp;'7. D.Kiến thu, chi PABT'!$B11)</f>
        <v>0</v>
      </c>
      <c r="K11" s="98">
        <f>SUMIFS('9. Thu, chi PABT'!$T$11:$T$20001,'9. Thu, chi PABT'!$J$11:$J$20001,'7. D.Kiến thu, chi PABT'!$E11,'9. Thu, chi PABT'!$K$11:$K$20001,'7. D.Kiến thu, chi PABT'!$F11,'9. Thu, chi PABT'!$L$11:$L$20001,'7. D.Kiến thu, chi PABT'!$G11,'9. Thu, chi PABT'!$M$11:$M$20001,'7. D.Kiến thu, chi PABT'!$H11,'9. Thu, chi PABT'!$B$11:$B$20001,'7. D.Kiến thu, chi PABT'!$C11,'9. Thu, chi PABT'!$B$11:$B$20001,"&lt;&gt;"&amp;"Tạm ứng",'9. Thu, chi PABT'!$D$11:$D$20001,"&lt;&gt;"&amp;"Tạm ứng",'9. Thu, chi PABT'!$F$11:$F$20001,"",'9. Thu, chi PABT'!$R$11:$R$20001,"&lt;"&amp;'7. D.Kiến thu, chi PABT'!$B11)-SUMIFS('9. Thu, chi PABT'!$U$11:$U$20003,'9. Thu, chi PABT'!$J$11:$J$20003,'7. D.Kiến thu, chi PABT'!$E11,'9. Thu, chi PABT'!$K$11:$K$20003,'7. D.Kiến thu, chi PABT'!$F11,'9. Thu, chi PABT'!$L$11:$L$20003,'7. D.Kiến thu, chi PABT'!$G11,'9. Thu, chi PABT'!$M$11:$M$20003,'7. D.Kiến thu, chi PABT'!$H11,'9. Thu, chi PABT'!$B$11:$B$20003,'7. D.Kiến thu, chi PABT'!$C11,'9. Thu, chi PABT'!$F$11:$F$20003,"",'9. Thu, chi PABT'!$R$11:$R$20003,"&lt;"&amp;'7. D.Kiến thu, chi PABT'!$B11)</f>
        <v>0</v>
      </c>
      <c r="L11" s="98">
        <f>SUMIFS('5. DS hộ thu hồi PABT'!$H$10:$H$20000,'5. DS hộ thu hồi PABT'!$D$10:$D$20000,'7. D.Kiến thu, chi PABT'!$E11,'5. DS hộ thu hồi PABT'!$E$10:$E$20000,'7. D.Kiến thu, chi PABT'!$F11,'5. DS hộ thu hồi PABT'!$F$10:$F$20000,'7. D.Kiến thu, chi PABT'!$G11,'5. DS hộ thu hồi PABT'!$G$10:$G$20000,'7. D.Kiến thu, chi PABT'!$H11,'5. DS hộ thu hồi PABT'!$L$10:$L$20000,"Thu hồi",'5. DS hộ thu hồi PABT'!$B$10:$B$20000,'7. D.Kiến thu, chi PABT'!$B11,'5. DS hộ thu hồi PABT'!$C$10:$C$20000,'7. D.Kiến thu, chi PABT'!$C11)</f>
        <v>0</v>
      </c>
      <c r="M11" s="98">
        <f>SUMIFS('5. DS hộ thu hồi PABT'!$I$10:$I$20002,'5. DS hộ thu hồi PABT'!$D$10:$D$20002,'7. D.Kiến thu, chi PABT'!$E11,'5. DS hộ thu hồi PABT'!$E$10:$E$20002,'7. D.Kiến thu, chi PABT'!$F11,'5. DS hộ thu hồi PABT'!$F$10:$F$20002,'7. D.Kiến thu, chi PABT'!$G11,'5. DS hộ thu hồi PABT'!$G$10:$G$20002,'7. D.Kiến thu, chi PABT'!$H11,'5. DS hộ thu hồi PABT'!$C$10:$C$20002,'7. D.Kiến thu, chi PABT'!$C11,'5. DS hộ thu hồi PABT'!$B$10:$B$20002,'7. D.Kiến thu, chi PABT'!$B11,'5. DS hộ thu hồi PABT'!$L$10:$L$20002,"Thu hồi")</f>
        <v>0</v>
      </c>
      <c r="N11" s="125">
        <f t="shared" ref="N11:N26" si="0">(I11-K11)+M11</f>
        <v>0</v>
      </c>
      <c r="O11" s="133">
        <v>50000000</v>
      </c>
      <c r="P11" s="98">
        <f>SUMIFS('9. Thu, chi PABT'!$T$11:$T$20001,'9. Thu, chi PABT'!$J$11:$J$20001,'7. D.Kiến thu, chi PABT'!$E11,'9. Thu, chi PABT'!$K$11:$K$20001,'7. D.Kiến thu, chi PABT'!$F11,'9. Thu, chi PABT'!$L$11:$L$20001,'7. D.Kiến thu, chi PABT'!$G11,'9. Thu, chi PABT'!$M$11:$M$20001,'7. D.Kiến thu, chi PABT'!$H11,'9. Thu, chi PABT'!$B$11:$B$20001,'7. D.Kiến thu, chi PABT'!$C11,'9. Thu, chi PABT'!$F$11:$F$20001,"",'9. Thu, chi PABT'!$D$11:$D$20001,IF('7. D.Kiến thu, chi PABT'!$D11="","",$D11),'9. Thu, chi PABT'!$R$11:$R$20001,"="&amp;'7. D.Kiến thu, chi PABT'!$B11)</f>
        <v>80000000</v>
      </c>
      <c r="Q11" s="98">
        <f>SUMIFS('9. Thu, chi PABT'!$U$11:$U$20003,'9. Thu, chi PABT'!$J$11:$J$20003,'7. D.Kiến thu, chi PABT'!$E11,'9. Thu, chi PABT'!$K$11:$K$20003,'7. D.Kiến thu, chi PABT'!$F11,'9. Thu, chi PABT'!$L$11:$L$20003,'7. D.Kiến thu, chi PABT'!$G11,'9. Thu, chi PABT'!$M$11:$M$20003,'7. D.Kiến thu, chi PABT'!$H11,'9. Thu, chi PABT'!$B$11:$B$20003,'7. D.Kiến thu, chi PABT'!$C11,'9. Thu, chi PABT'!$R$11:$R$20003,"="&amp;'7. D.Kiến thu, chi PABT'!$B11)</f>
        <v>0</v>
      </c>
      <c r="R11" s="41">
        <f t="shared" ref="R11:R26" si="1">IF(OR(P11&gt;0,Q11&gt;0),(I11-K11-P11)+Q11,N11-O11)</f>
        <v>-80000000</v>
      </c>
    </row>
    <row r="12" spans="1:18" ht="17.45" customHeight="1" x14ac:dyDescent="0.25">
      <c r="A12" s="7">
        <v>3</v>
      </c>
      <c r="B12" s="67">
        <v>45330</v>
      </c>
      <c r="C12" s="8">
        <v>110</v>
      </c>
      <c r="D12" s="8"/>
      <c r="E12" s="8" t="s">
        <v>110</v>
      </c>
      <c r="F12" s="8" t="s">
        <v>152</v>
      </c>
      <c r="G12" s="8" t="s">
        <v>112</v>
      </c>
      <c r="H12" s="97" t="s">
        <v>114</v>
      </c>
      <c r="I12" s="132">
        <f>SUMIFS('4. C.Tiết P.Án B.Thường'!$N$11:$N$19956,'4. C.Tiết P.Án B.Thường'!$J$11:$J$19956,'7. D.Kiến thu, chi PABT'!$E12,'4. C.Tiết P.Án B.Thường'!$K$11:$K$19956,'7. D.Kiến thu, chi PABT'!$F12,'4. C.Tiết P.Án B.Thường'!$L$11:$L$19956,'7. D.Kiến thu, chi PABT'!$G12,'4. C.Tiết P.Án B.Thường'!$M$11:$M$19956,'7. D.Kiến thu, chi PABT'!$H12,'4. C.Tiết P.Án B.Thường'!$B$11:$B$19956,'7. D.Kiến thu, chi PABT'!$C12,'4. C.Tiết P.Án B.Thường'!$B$11:$B$19956,"&lt;&gt;"&amp;"Tạm ứng",'4. C.Tiết P.Án B.Thường'!$D$11:$D$19956,"",'4. C.Tiết P.Án B.Thường'!$C$11:$C$19956,"&lt;="&amp;'7. D.Kiến thu, chi PABT'!$B12)+SUMIFS('4. C.Tiết P.Án B.Thường'!$N$11:$N$19956,'4. C.Tiết P.Án B.Thường'!$J$11:$J$19956,'7. D.Kiến thu, chi PABT'!$E12,'4. C.Tiết P.Án B.Thường'!$K$11:$K$19956,'7. D.Kiến thu, chi PABT'!$F12,'4. C.Tiết P.Án B.Thường'!$L$11:$L$19956,'7. D.Kiến thu, chi PABT'!$G12,'4. C.Tiết P.Án B.Thường'!$M$11:$M$19956,'7. D.Kiến thu, chi PABT'!$H12,'4. C.Tiết P.Án B.Thường'!$B$11:$B$19956,'7. D.Kiến thu, chi PABT'!$C12,'4. C.Tiết P.Án B.Thường'!$D$11:$D$19956,"&lt;&gt;"&amp;"",'4. C.Tiết P.Án B.Thường'!$D$11:$D$19956,"&lt;&gt;"&amp;"Tạm ứng",'4. C.Tiết P.Án B.Thường'!$E$11:$E$19956,"&lt;="&amp;'7. D.Kiến thu, chi PABT'!$B12)</f>
        <v>0</v>
      </c>
      <c r="J12" s="98">
        <f>SUMIFS('9. Thu, chi PABT'!$T$11:$T$20001,'9. Thu, chi PABT'!$J$11:$J$20001,'7. D.Kiến thu, chi PABT'!$E12,'9. Thu, chi PABT'!$K$11:$K$20001,'7. D.Kiến thu, chi PABT'!$F12,'9. Thu, chi PABT'!$L$11:$L$20001,'7. D.Kiến thu, chi PABT'!$G12,'9. Thu, chi PABT'!$M$11:$M$20001,'7. D.Kiến thu, chi PABT'!$H12,'9. Thu, chi PABT'!$B$11:$B$20001,'7. D.Kiến thu, chi PABT'!$C12,'9. Thu, chi PABT'!$B$11:$B$20001,"Tạm ứng",'9. Thu, chi PABT'!$R$11:$R$20001,"&lt;"&amp;'7. D.Kiến thu, chi PABT'!$B12)+SUMIFS('9. Thu, chi PABT'!$T$11:$T$20001,'9. Thu, chi PABT'!$J$11:$J$20001,'7. D.Kiến thu, chi PABT'!$E12,'9. Thu, chi PABT'!$K$11:$K$20001,'7. D.Kiến thu, chi PABT'!$F12,'9. Thu, chi PABT'!$L$11:$L$20001,'7. D.Kiến thu, chi PABT'!$G12,'9. Thu, chi PABT'!$M$11:$M$20001,'7. D.Kiến thu, chi PABT'!$H12,'9. Thu, chi PABT'!$B$11:$B$20001,'7. D.Kiến thu, chi PABT'!$C12,'9. Thu, chi PABT'!$D$11:$D$20001,"Tạm ứng",'9. Thu, chi PABT'!$R$11:$R$20001,"&lt;"&amp;'7. D.Kiến thu, chi PABT'!$B12)</f>
        <v>0</v>
      </c>
      <c r="K12" s="98">
        <f>SUMIFS('9. Thu, chi PABT'!$T$11:$T$20001,'9. Thu, chi PABT'!$J$11:$J$20001,'7. D.Kiến thu, chi PABT'!$E12,'9. Thu, chi PABT'!$K$11:$K$20001,'7. D.Kiến thu, chi PABT'!$F12,'9. Thu, chi PABT'!$L$11:$L$20001,'7. D.Kiến thu, chi PABT'!$G12,'9. Thu, chi PABT'!$M$11:$M$20001,'7. D.Kiến thu, chi PABT'!$H12,'9. Thu, chi PABT'!$B$11:$B$20001,'7. D.Kiến thu, chi PABT'!$C12,'9. Thu, chi PABT'!$B$11:$B$20001,"&lt;&gt;"&amp;"Tạm ứng",'9. Thu, chi PABT'!$D$11:$D$20001,"&lt;&gt;"&amp;"Tạm ứng",'9. Thu, chi PABT'!$F$11:$F$20001,"",'9. Thu, chi PABT'!$R$11:$R$20001,"&lt;"&amp;'7. D.Kiến thu, chi PABT'!$B12)-SUMIFS('9. Thu, chi PABT'!$U$11:$U$20003,'9. Thu, chi PABT'!$J$11:$J$20003,'7. D.Kiến thu, chi PABT'!$E12,'9. Thu, chi PABT'!$K$11:$K$20003,'7. D.Kiến thu, chi PABT'!$F12,'9. Thu, chi PABT'!$L$11:$L$20003,'7. D.Kiến thu, chi PABT'!$G12,'9. Thu, chi PABT'!$M$11:$M$20003,'7. D.Kiến thu, chi PABT'!$H12,'9. Thu, chi PABT'!$B$11:$B$20003,'7. D.Kiến thu, chi PABT'!$C12,'9. Thu, chi PABT'!$F$11:$F$20003,"",'9. Thu, chi PABT'!$R$11:$R$20003,"&lt;"&amp;'7. D.Kiến thu, chi PABT'!$B12)</f>
        <v>80000000</v>
      </c>
      <c r="L12" s="98">
        <f>SUMIFS('5. DS hộ thu hồi PABT'!$H$10:$H$20000,'5. DS hộ thu hồi PABT'!$D$10:$D$20000,'7. D.Kiến thu, chi PABT'!$E12,'5. DS hộ thu hồi PABT'!$E$10:$E$20000,'7. D.Kiến thu, chi PABT'!$F12,'5. DS hộ thu hồi PABT'!$F$10:$F$20000,'7. D.Kiến thu, chi PABT'!$G12,'5. DS hộ thu hồi PABT'!$G$10:$G$20000,'7. D.Kiến thu, chi PABT'!$H12,'5. DS hộ thu hồi PABT'!$L$10:$L$20000,"Thu hồi",'5. DS hộ thu hồi PABT'!$B$10:$B$20000,'7. D.Kiến thu, chi PABT'!$B12,'5. DS hộ thu hồi PABT'!$C$10:$C$20000,'7. D.Kiến thu, chi PABT'!$C12)</f>
        <v>0</v>
      </c>
      <c r="M12" s="98">
        <f>SUMIFS('5. DS hộ thu hồi PABT'!$I$10:$I$20002,'5. DS hộ thu hồi PABT'!$D$10:$D$20002,'7. D.Kiến thu, chi PABT'!$E12,'5. DS hộ thu hồi PABT'!$E$10:$E$20002,'7. D.Kiến thu, chi PABT'!$F12,'5. DS hộ thu hồi PABT'!$F$10:$F$20002,'7. D.Kiến thu, chi PABT'!$G12,'5. DS hộ thu hồi PABT'!$G$10:$G$20002,'7. D.Kiến thu, chi PABT'!$H12,'5. DS hộ thu hồi PABT'!$C$10:$C$20002,'7. D.Kiến thu, chi PABT'!$C12,'5. DS hộ thu hồi PABT'!$B$10:$B$20002,'7. D.Kiến thu, chi PABT'!$B12,'5. DS hộ thu hồi PABT'!$L$10:$L$20002,"Thu hồi")</f>
        <v>0</v>
      </c>
      <c r="N12" s="125">
        <f t="shared" si="0"/>
        <v>-80000000</v>
      </c>
      <c r="O12" s="133">
        <v>120000000</v>
      </c>
      <c r="P12" s="98">
        <f>SUMIFS('9. Thu, chi PABT'!$T$11:$T$20001,'9. Thu, chi PABT'!$J$11:$J$20001,'7. D.Kiến thu, chi PABT'!$E12,'9. Thu, chi PABT'!$K$11:$K$20001,'7. D.Kiến thu, chi PABT'!$F12,'9. Thu, chi PABT'!$L$11:$L$20001,'7. D.Kiến thu, chi PABT'!$G12,'9. Thu, chi PABT'!$M$11:$M$20001,'7. D.Kiến thu, chi PABT'!$H12,'9. Thu, chi PABT'!$B$11:$B$20001,'7. D.Kiến thu, chi PABT'!$C12,'9. Thu, chi PABT'!$F$11:$F$20001,"",'9. Thu, chi PABT'!$D$11:$D$20001,IF('7. D.Kiến thu, chi PABT'!$D12="","",$D12),'9. Thu, chi PABT'!$R$11:$R$20001,"="&amp;'7. D.Kiến thu, chi PABT'!$B12)</f>
        <v>120000000</v>
      </c>
      <c r="Q12" s="98">
        <f>SUMIFS('9. Thu, chi PABT'!$U$11:$U$20003,'9. Thu, chi PABT'!$J$11:$J$20003,'7. D.Kiến thu, chi PABT'!$E12,'9. Thu, chi PABT'!$K$11:$K$20003,'7. D.Kiến thu, chi PABT'!$F12,'9. Thu, chi PABT'!$L$11:$L$20003,'7. D.Kiến thu, chi PABT'!$G12,'9. Thu, chi PABT'!$M$11:$M$20003,'7. D.Kiến thu, chi PABT'!$H12,'9. Thu, chi PABT'!$B$11:$B$20003,'7. D.Kiến thu, chi PABT'!$C12,'9. Thu, chi PABT'!$R$11:$R$20003,"="&amp;'7. D.Kiến thu, chi PABT'!$B12)</f>
        <v>0</v>
      </c>
      <c r="R12" s="41">
        <f t="shared" si="1"/>
        <v>-200000000</v>
      </c>
    </row>
    <row r="13" spans="1:18" ht="17.45" customHeight="1" x14ac:dyDescent="0.25">
      <c r="A13" s="7">
        <v>4</v>
      </c>
      <c r="B13" s="67">
        <v>45332</v>
      </c>
      <c r="C13" s="8">
        <v>110</v>
      </c>
      <c r="D13" s="8" t="s">
        <v>136</v>
      </c>
      <c r="E13" s="8" t="s">
        <v>110</v>
      </c>
      <c r="F13" s="8" t="s">
        <v>152</v>
      </c>
      <c r="G13" s="8" t="s">
        <v>112</v>
      </c>
      <c r="H13" s="97" t="s">
        <v>114</v>
      </c>
      <c r="I13" s="132">
        <f>SUMIFS('4. C.Tiết P.Án B.Thường'!$N$11:$N$19956,'4. C.Tiết P.Án B.Thường'!$J$11:$J$19956,'7. D.Kiến thu, chi PABT'!$E13,'4. C.Tiết P.Án B.Thường'!$K$11:$K$19956,'7. D.Kiến thu, chi PABT'!$F13,'4. C.Tiết P.Án B.Thường'!$L$11:$L$19956,'7. D.Kiến thu, chi PABT'!$G13,'4. C.Tiết P.Án B.Thường'!$M$11:$M$19956,'7. D.Kiến thu, chi PABT'!$H13,'4. C.Tiết P.Án B.Thường'!$B$11:$B$19956,'7. D.Kiến thu, chi PABT'!$C13,'4. C.Tiết P.Án B.Thường'!$B$11:$B$19956,"&lt;&gt;"&amp;"Tạm ứng",'4. C.Tiết P.Án B.Thường'!$D$11:$D$19956,"",'4. C.Tiết P.Án B.Thường'!$C$11:$C$19956,"&lt;="&amp;'7. D.Kiến thu, chi PABT'!$B13)+SUMIFS('4. C.Tiết P.Án B.Thường'!$N$11:$N$19956,'4. C.Tiết P.Án B.Thường'!$J$11:$J$19956,'7. D.Kiến thu, chi PABT'!$E13,'4. C.Tiết P.Án B.Thường'!$K$11:$K$19956,'7. D.Kiến thu, chi PABT'!$F13,'4. C.Tiết P.Án B.Thường'!$L$11:$L$19956,'7. D.Kiến thu, chi PABT'!$G13,'4. C.Tiết P.Án B.Thường'!$M$11:$M$19956,'7. D.Kiến thu, chi PABT'!$H13,'4. C.Tiết P.Án B.Thường'!$B$11:$B$19956,'7. D.Kiến thu, chi PABT'!$C13,'4. C.Tiết P.Án B.Thường'!$D$11:$D$19956,"&lt;&gt;"&amp;"",'4. C.Tiết P.Án B.Thường'!$D$11:$D$19956,"&lt;&gt;"&amp;"Tạm ứng",'4. C.Tiết P.Án B.Thường'!$E$11:$E$19956,"&lt;="&amp;'7. D.Kiến thu, chi PABT'!$B13)</f>
        <v>0</v>
      </c>
      <c r="J13" s="98">
        <f>SUMIFS('9. Thu, chi PABT'!$T$11:$T$20001,'9. Thu, chi PABT'!$J$11:$J$20001,'7. D.Kiến thu, chi PABT'!$E13,'9. Thu, chi PABT'!$K$11:$K$20001,'7. D.Kiến thu, chi PABT'!$F13,'9. Thu, chi PABT'!$L$11:$L$20001,'7. D.Kiến thu, chi PABT'!$G13,'9. Thu, chi PABT'!$M$11:$M$20001,'7. D.Kiến thu, chi PABT'!$H13,'9. Thu, chi PABT'!$B$11:$B$20001,'7. D.Kiến thu, chi PABT'!$C13,'9. Thu, chi PABT'!$B$11:$B$20001,"Tạm ứng",'9. Thu, chi PABT'!$R$11:$R$20001,"&lt;"&amp;'7. D.Kiến thu, chi PABT'!$B13)+SUMIFS('9. Thu, chi PABT'!$T$11:$T$20001,'9. Thu, chi PABT'!$J$11:$J$20001,'7. D.Kiến thu, chi PABT'!$E13,'9. Thu, chi PABT'!$K$11:$K$20001,'7. D.Kiến thu, chi PABT'!$F13,'9. Thu, chi PABT'!$L$11:$L$20001,'7. D.Kiến thu, chi PABT'!$G13,'9. Thu, chi PABT'!$M$11:$M$20001,'7. D.Kiến thu, chi PABT'!$H13,'9. Thu, chi PABT'!$B$11:$B$20001,'7. D.Kiến thu, chi PABT'!$C13,'9. Thu, chi PABT'!$D$11:$D$20001,"Tạm ứng",'9. Thu, chi PABT'!$R$11:$R$20001,"&lt;"&amp;'7. D.Kiến thu, chi PABT'!$B13)</f>
        <v>0</v>
      </c>
      <c r="K13" s="98">
        <f>SUMIFS('9. Thu, chi PABT'!$T$11:$T$20001,'9. Thu, chi PABT'!$J$11:$J$20001,'7. D.Kiến thu, chi PABT'!$E13,'9. Thu, chi PABT'!$K$11:$K$20001,'7. D.Kiến thu, chi PABT'!$F13,'9. Thu, chi PABT'!$L$11:$L$20001,'7. D.Kiến thu, chi PABT'!$G13,'9. Thu, chi PABT'!$M$11:$M$20001,'7. D.Kiến thu, chi PABT'!$H13,'9. Thu, chi PABT'!$B$11:$B$20001,'7. D.Kiến thu, chi PABT'!$C13,'9. Thu, chi PABT'!$B$11:$B$20001,"&lt;&gt;"&amp;"Tạm ứng",'9. Thu, chi PABT'!$D$11:$D$20001,"&lt;&gt;"&amp;"Tạm ứng",'9. Thu, chi PABT'!$F$11:$F$20001,"",'9. Thu, chi PABT'!$R$11:$R$20001,"&lt;"&amp;'7. D.Kiến thu, chi PABT'!$B13)-SUMIFS('9. Thu, chi PABT'!$U$11:$U$20003,'9. Thu, chi PABT'!$J$11:$J$20003,'7. D.Kiến thu, chi PABT'!$E13,'9. Thu, chi PABT'!$K$11:$K$20003,'7. D.Kiến thu, chi PABT'!$F13,'9. Thu, chi PABT'!$L$11:$L$20003,'7. D.Kiến thu, chi PABT'!$G13,'9. Thu, chi PABT'!$M$11:$M$20003,'7. D.Kiến thu, chi PABT'!$H13,'9. Thu, chi PABT'!$B$11:$B$20003,'7. D.Kiến thu, chi PABT'!$C13,'9. Thu, chi PABT'!$F$11:$F$20003,"",'9. Thu, chi PABT'!$R$11:$R$20003,"&lt;"&amp;'7. D.Kiến thu, chi PABT'!$B13)</f>
        <v>200000000</v>
      </c>
      <c r="L13" s="98">
        <f>SUMIFS('5. DS hộ thu hồi PABT'!$H$10:$H$20000,'5. DS hộ thu hồi PABT'!$D$10:$D$20000,'7. D.Kiến thu, chi PABT'!$E13,'5. DS hộ thu hồi PABT'!$E$10:$E$20000,'7. D.Kiến thu, chi PABT'!$F13,'5. DS hộ thu hồi PABT'!$F$10:$F$20000,'7. D.Kiến thu, chi PABT'!$G13,'5. DS hộ thu hồi PABT'!$G$10:$G$20000,'7. D.Kiến thu, chi PABT'!$H13,'5. DS hộ thu hồi PABT'!$L$10:$L$20000,"Thu hồi",'5. DS hộ thu hồi PABT'!$B$10:$B$20000,'7. D.Kiến thu, chi PABT'!$B13,'5. DS hộ thu hồi PABT'!$C$10:$C$20000,'7. D.Kiến thu, chi PABT'!$C13)</f>
        <v>0</v>
      </c>
      <c r="M13" s="98">
        <f>SUMIFS('5. DS hộ thu hồi PABT'!$I$10:$I$20002,'5. DS hộ thu hồi PABT'!$D$10:$D$20002,'7. D.Kiến thu, chi PABT'!$E13,'5. DS hộ thu hồi PABT'!$E$10:$E$20002,'7. D.Kiến thu, chi PABT'!$F13,'5. DS hộ thu hồi PABT'!$F$10:$F$20002,'7. D.Kiến thu, chi PABT'!$G13,'5. DS hộ thu hồi PABT'!$G$10:$G$20002,'7. D.Kiến thu, chi PABT'!$H13,'5. DS hộ thu hồi PABT'!$C$10:$C$20002,'7. D.Kiến thu, chi PABT'!$C13,'5. DS hộ thu hồi PABT'!$B$10:$B$20002,'7. D.Kiến thu, chi PABT'!$B13,'5. DS hộ thu hồi PABT'!$L$10:$L$20002,"Thu hồi")</f>
        <v>0</v>
      </c>
      <c r="N13" s="125">
        <f t="shared" si="0"/>
        <v>-200000000</v>
      </c>
      <c r="O13" s="133">
        <v>300000000</v>
      </c>
      <c r="P13" s="98">
        <f>SUMIFS('9. Thu, chi PABT'!$T$11:$T$20001,'9. Thu, chi PABT'!$J$11:$J$20001,'7. D.Kiến thu, chi PABT'!$E13,'9. Thu, chi PABT'!$K$11:$K$20001,'7. D.Kiến thu, chi PABT'!$F13,'9. Thu, chi PABT'!$L$11:$L$20001,'7. D.Kiến thu, chi PABT'!$G13,'9. Thu, chi PABT'!$M$11:$M$20001,'7. D.Kiến thu, chi PABT'!$H13,'9. Thu, chi PABT'!$B$11:$B$20001,'7. D.Kiến thu, chi PABT'!$C13,'9. Thu, chi PABT'!$F$11:$F$20001,"",'9. Thu, chi PABT'!$D$11:$D$20001,IF('7. D.Kiến thu, chi PABT'!$D13="","",$D13),'9. Thu, chi PABT'!$R$11:$R$20001,"="&amp;'7. D.Kiến thu, chi PABT'!$B13)</f>
        <v>300000000</v>
      </c>
      <c r="Q13" s="98">
        <f>SUMIFS('9. Thu, chi PABT'!$U$11:$U$20003,'9. Thu, chi PABT'!$J$11:$J$20003,'7. D.Kiến thu, chi PABT'!$E13,'9. Thu, chi PABT'!$K$11:$K$20003,'7. D.Kiến thu, chi PABT'!$F13,'9. Thu, chi PABT'!$L$11:$L$20003,'7. D.Kiến thu, chi PABT'!$G13,'9. Thu, chi PABT'!$M$11:$M$20003,'7. D.Kiến thu, chi PABT'!$H13,'9. Thu, chi PABT'!$B$11:$B$20003,'7. D.Kiến thu, chi PABT'!$C13,'9. Thu, chi PABT'!$R$11:$R$20003,"="&amp;'7. D.Kiến thu, chi PABT'!$B13)</f>
        <v>0</v>
      </c>
      <c r="R13" s="41">
        <f t="shared" si="1"/>
        <v>-500000000</v>
      </c>
    </row>
    <row r="14" spans="1:18" ht="17.45" customHeight="1" x14ac:dyDescent="0.25">
      <c r="A14" s="7">
        <v>5</v>
      </c>
      <c r="B14" s="67">
        <v>45334</v>
      </c>
      <c r="C14" s="8">
        <v>110</v>
      </c>
      <c r="D14" s="8"/>
      <c r="E14" s="8" t="s">
        <v>110</v>
      </c>
      <c r="F14" s="8" t="s">
        <v>152</v>
      </c>
      <c r="G14" s="8" t="s">
        <v>112</v>
      </c>
      <c r="H14" s="97" t="s">
        <v>114</v>
      </c>
      <c r="I14" s="132">
        <f>SUMIFS('4. C.Tiết P.Án B.Thường'!$N$11:$N$19956,'4. C.Tiết P.Án B.Thường'!$J$11:$J$19956,'7. D.Kiến thu, chi PABT'!$E14,'4. C.Tiết P.Án B.Thường'!$K$11:$K$19956,'7. D.Kiến thu, chi PABT'!$F14,'4. C.Tiết P.Án B.Thường'!$L$11:$L$19956,'7. D.Kiến thu, chi PABT'!$G14,'4. C.Tiết P.Án B.Thường'!$M$11:$M$19956,'7. D.Kiến thu, chi PABT'!$H14,'4. C.Tiết P.Án B.Thường'!$B$11:$B$19956,'7. D.Kiến thu, chi PABT'!$C14,'4. C.Tiết P.Án B.Thường'!$B$11:$B$19956,"&lt;&gt;"&amp;"Tạm ứng",'4. C.Tiết P.Án B.Thường'!$D$11:$D$19956,"",'4. C.Tiết P.Án B.Thường'!$C$11:$C$19956,"&lt;="&amp;'7. D.Kiến thu, chi PABT'!$B14)+SUMIFS('4. C.Tiết P.Án B.Thường'!$N$11:$N$19956,'4. C.Tiết P.Án B.Thường'!$J$11:$J$19956,'7. D.Kiến thu, chi PABT'!$E14,'4. C.Tiết P.Án B.Thường'!$K$11:$K$19956,'7. D.Kiến thu, chi PABT'!$F14,'4. C.Tiết P.Án B.Thường'!$L$11:$L$19956,'7. D.Kiến thu, chi PABT'!$G14,'4. C.Tiết P.Án B.Thường'!$M$11:$M$19956,'7. D.Kiến thu, chi PABT'!$H14,'4. C.Tiết P.Án B.Thường'!$B$11:$B$19956,'7. D.Kiến thu, chi PABT'!$C14,'4. C.Tiết P.Án B.Thường'!$D$11:$D$19956,"&lt;&gt;"&amp;"",'4. C.Tiết P.Án B.Thường'!$D$11:$D$19956,"&lt;&gt;"&amp;"Tạm ứng",'4. C.Tiết P.Án B.Thường'!$E$11:$E$19956,"&lt;="&amp;'7. D.Kiến thu, chi PABT'!$B14)</f>
        <v>0</v>
      </c>
      <c r="J14" s="98">
        <f>SUMIFS('9. Thu, chi PABT'!$T$11:$T$20001,'9. Thu, chi PABT'!$J$11:$J$20001,'7. D.Kiến thu, chi PABT'!$E14,'9. Thu, chi PABT'!$K$11:$K$20001,'7. D.Kiến thu, chi PABT'!$F14,'9. Thu, chi PABT'!$L$11:$L$20001,'7. D.Kiến thu, chi PABT'!$G14,'9. Thu, chi PABT'!$M$11:$M$20001,'7. D.Kiến thu, chi PABT'!$H14,'9. Thu, chi PABT'!$B$11:$B$20001,'7. D.Kiến thu, chi PABT'!$C14,'9. Thu, chi PABT'!$B$11:$B$20001,"Tạm ứng",'9. Thu, chi PABT'!$R$11:$R$20001,"&lt;"&amp;'7. D.Kiến thu, chi PABT'!$B14)+SUMIFS('9. Thu, chi PABT'!$T$11:$T$20001,'9. Thu, chi PABT'!$J$11:$J$20001,'7. D.Kiến thu, chi PABT'!$E14,'9. Thu, chi PABT'!$K$11:$K$20001,'7. D.Kiến thu, chi PABT'!$F14,'9. Thu, chi PABT'!$L$11:$L$20001,'7. D.Kiến thu, chi PABT'!$G14,'9. Thu, chi PABT'!$M$11:$M$20001,'7. D.Kiến thu, chi PABT'!$H14,'9. Thu, chi PABT'!$B$11:$B$20001,'7. D.Kiến thu, chi PABT'!$C14,'9. Thu, chi PABT'!$D$11:$D$20001,"Tạm ứng",'9. Thu, chi PABT'!$R$11:$R$20001,"&lt;"&amp;'7. D.Kiến thu, chi PABT'!$B14)</f>
        <v>300000000</v>
      </c>
      <c r="K14" s="98">
        <f>SUMIFS('9. Thu, chi PABT'!$T$11:$T$20001,'9. Thu, chi PABT'!$J$11:$J$20001,'7. D.Kiến thu, chi PABT'!$E14,'9. Thu, chi PABT'!$K$11:$K$20001,'7. D.Kiến thu, chi PABT'!$F14,'9. Thu, chi PABT'!$L$11:$L$20001,'7. D.Kiến thu, chi PABT'!$G14,'9. Thu, chi PABT'!$M$11:$M$20001,'7. D.Kiến thu, chi PABT'!$H14,'9. Thu, chi PABT'!$B$11:$B$20001,'7. D.Kiến thu, chi PABT'!$C14,'9. Thu, chi PABT'!$B$11:$B$20001,"&lt;&gt;"&amp;"Tạm ứng",'9. Thu, chi PABT'!$D$11:$D$20001,"&lt;&gt;"&amp;"Tạm ứng",'9. Thu, chi PABT'!$F$11:$F$20001,"",'9. Thu, chi PABT'!$R$11:$R$20001,"&lt;"&amp;'7. D.Kiến thu, chi PABT'!$B14)-SUMIFS('9. Thu, chi PABT'!$U$11:$U$20003,'9. Thu, chi PABT'!$J$11:$J$20003,'7. D.Kiến thu, chi PABT'!$E14,'9. Thu, chi PABT'!$K$11:$K$20003,'7. D.Kiến thu, chi PABT'!$F14,'9. Thu, chi PABT'!$L$11:$L$20003,'7. D.Kiến thu, chi PABT'!$G14,'9. Thu, chi PABT'!$M$11:$M$20003,'7. D.Kiến thu, chi PABT'!$H14,'9. Thu, chi PABT'!$B$11:$B$20003,'7. D.Kiến thu, chi PABT'!$C14,'9. Thu, chi PABT'!$F$11:$F$20003,"",'9. Thu, chi PABT'!$R$11:$R$20003,"&lt;"&amp;'7. D.Kiến thu, chi PABT'!$B14)</f>
        <v>200000000</v>
      </c>
      <c r="L14" s="98">
        <f>SUMIFS('5. DS hộ thu hồi PABT'!$H$10:$H$20000,'5. DS hộ thu hồi PABT'!$D$10:$D$20000,'7. D.Kiến thu, chi PABT'!$E14,'5. DS hộ thu hồi PABT'!$E$10:$E$20000,'7. D.Kiến thu, chi PABT'!$F14,'5. DS hộ thu hồi PABT'!$F$10:$F$20000,'7. D.Kiến thu, chi PABT'!$G14,'5. DS hộ thu hồi PABT'!$G$10:$G$20000,'7. D.Kiến thu, chi PABT'!$H14,'5. DS hộ thu hồi PABT'!$L$10:$L$20000,"Thu hồi",'5. DS hộ thu hồi PABT'!$B$10:$B$20000,'7. D.Kiến thu, chi PABT'!$B14,'5. DS hộ thu hồi PABT'!$C$10:$C$20000,'7. D.Kiến thu, chi PABT'!$C14)</f>
        <v>0</v>
      </c>
      <c r="M14" s="98">
        <f>SUMIFS('5. DS hộ thu hồi PABT'!$I$10:$I$20002,'5. DS hộ thu hồi PABT'!$D$10:$D$20002,'7. D.Kiến thu, chi PABT'!$E14,'5. DS hộ thu hồi PABT'!$E$10:$E$20002,'7. D.Kiến thu, chi PABT'!$F14,'5. DS hộ thu hồi PABT'!$F$10:$F$20002,'7. D.Kiến thu, chi PABT'!$G14,'5. DS hộ thu hồi PABT'!$G$10:$G$20002,'7. D.Kiến thu, chi PABT'!$H14,'5. DS hộ thu hồi PABT'!$C$10:$C$20002,'7. D.Kiến thu, chi PABT'!$C14,'5. DS hộ thu hồi PABT'!$B$10:$B$20002,'7. D.Kiến thu, chi PABT'!$B14,'5. DS hộ thu hồi PABT'!$L$10:$L$20002,"Thu hồi")</f>
        <v>0</v>
      </c>
      <c r="N14" s="125">
        <f t="shared" si="0"/>
        <v>-200000000</v>
      </c>
      <c r="O14" s="133">
        <v>0</v>
      </c>
      <c r="P14" s="98">
        <f>SUMIFS('9. Thu, chi PABT'!$T$11:$T$20001,'9. Thu, chi PABT'!$J$11:$J$20001,'7. D.Kiến thu, chi PABT'!$E14,'9. Thu, chi PABT'!$K$11:$K$20001,'7. D.Kiến thu, chi PABT'!$F14,'9. Thu, chi PABT'!$L$11:$L$20001,'7. D.Kiến thu, chi PABT'!$G14,'9. Thu, chi PABT'!$M$11:$M$20001,'7. D.Kiến thu, chi PABT'!$H14,'9. Thu, chi PABT'!$B$11:$B$20001,'7. D.Kiến thu, chi PABT'!$C14,'9. Thu, chi PABT'!$F$11:$F$20001,"",'9. Thu, chi PABT'!$D$11:$D$20001,IF('7. D.Kiến thu, chi PABT'!$D14="","",$D14),'9. Thu, chi PABT'!$R$11:$R$20001,"="&amp;'7. D.Kiến thu, chi PABT'!$B14)</f>
        <v>0</v>
      </c>
      <c r="Q14" s="98">
        <f>SUMIFS('9. Thu, chi PABT'!$U$11:$U$20003,'9. Thu, chi PABT'!$J$11:$J$20003,'7. D.Kiến thu, chi PABT'!$E14,'9. Thu, chi PABT'!$K$11:$K$20003,'7. D.Kiến thu, chi PABT'!$F14,'9. Thu, chi PABT'!$L$11:$L$20003,'7. D.Kiến thu, chi PABT'!$G14,'9. Thu, chi PABT'!$M$11:$M$20003,'7. D.Kiến thu, chi PABT'!$H14,'9. Thu, chi PABT'!$B$11:$B$20003,'7. D.Kiến thu, chi PABT'!$C14,'9. Thu, chi PABT'!$R$11:$R$20003,"="&amp;'7. D.Kiến thu, chi PABT'!$B14)</f>
        <v>0</v>
      </c>
      <c r="R14" s="41">
        <f t="shared" si="1"/>
        <v>-200000000</v>
      </c>
    </row>
    <row r="15" spans="1:18" ht="17.45" customHeight="1" x14ac:dyDescent="0.25">
      <c r="A15" s="7">
        <v>6</v>
      </c>
      <c r="B15" s="67">
        <v>45357</v>
      </c>
      <c r="C15" s="8">
        <v>120</v>
      </c>
      <c r="D15" s="8"/>
      <c r="E15" s="8" t="s">
        <v>110</v>
      </c>
      <c r="F15" s="8" t="s">
        <v>152</v>
      </c>
      <c r="G15" s="8" t="s">
        <v>112</v>
      </c>
      <c r="H15" s="97" t="s">
        <v>114</v>
      </c>
      <c r="I15" s="132">
        <f>SUMIFS('4. C.Tiết P.Án B.Thường'!$N$11:$N$19956,'4. C.Tiết P.Án B.Thường'!$J$11:$J$19956,'7. D.Kiến thu, chi PABT'!$E15,'4. C.Tiết P.Án B.Thường'!$K$11:$K$19956,'7. D.Kiến thu, chi PABT'!$F15,'4. C.Tiết P.Án B.Thường'!$L$11:$L$19956,'7. D.Kiến thu, chi PABT'!$G15,'4. C.Tiết P.Án B.Thường'!$M$11:$M$19956,'7. D.Kiến thu, chi PABT'!$H15,'4. C.Tiết P.Án B.Thường'!$B$11:$B$19956,'7. D.Kiến thu, chi PABT'!$C15,'4. C.Tiết P.Án B.Thường'!$B$11:$B$19956,"&lt;&gt;"&amp;"Tạm ứng",'4. C.Tiết P.Án B.Thường'!$D$11:$D$19956,"",'4. C.Tiết P.Án B.Thường'!$C$11:$C$19956,"&lt;="&amp;'7. D.Kiến thu, chi PABT'!$B15)+SUMIFS('4. C.Tiết P.Án B.Thường'!$N$11:$N$19956,'4. C.Tiết P.Án B.Thường'!$J$11:$J$19956,'7. D.Kiến thu, chi PABT'!$E15,'4. C.Tiết P.Án B.Thường'!$K$11:$K$19956,'7. D.Kiến thu, chi PABT'!$F15,'4. C.Tiết P.Án B.Thường'!$L$11:$L$19956,'7. D.Kiến thu, chi PABT'!$G15,'4. C.Tiết P.Án B.Thường'!$M$11:$M$19956,'7. D.Kiến thu, chi PABT'!$H15,'4. C.Tiết P.Án B.Thường'!$B$11:$B$19956,'7. D.Kiến thu, chi PABT'!$C15,'4. C.Tiết P.Án B.Thường'!$D$11:$D$19956,"&lt;&gt;"&amp;"",'4. C.Tiết P.Án B.Thường'!$D$11:$D$19956,"&lt;&gt;"&amp;"Tạm ứng",'4. C.Tiết P.Án B.Thường'!$E$11:$E$19956,"&lt;="&amp;'7. D.Kiến thu, chi PABT'!$B15)</f>
        <v>600000000</v>
      </c>
      <c r="J15" s="98">
        <f>SUMIFS('9. Thu, chi PABT'!$T$11:$T$20001,'9. Thu, chi PABT'!$J$11:$J$20001,'7. D.Kiến thu, chi PABT'!$E15,'9. Thu, chi PABT'!$K$11:$K$20001,'7. D.Kiến thu, chi PABT'!$F15,'9. Thu, chi PABT'!$L$11:$L$20001,'7. D.Kiến thu, chi PABT'!$G15,'9. Thu, chi PABT'!$M$11:$M$20001,'7. D.Kiến thu, chi PABT'!$H15,'9. Thu, chi PABT'!$B$11:$B$20001,'7. D.Kiến thu, chi PABT'!$C15,'9. Thu, chi PABT'!$B$11:$B$20001,"Tạm ứng",'9. Thu, chi PABT'!$R$11:$R$20001,"&lt;"&amp;'7. D.Kiến thu, chi PABT'!$B15)+SUMIFS('9. Thu, chi PABT'!$T$11:$T$20001,'9. Thu, chi PABT'!$J$11:$J$20001,'7. D.Kiến thu, chi PABT'!$E15,'9. Thu, chi PABT'!$K$11:$K$20001,'7. D.Kiến thu, chi PABT'!$F15,'9. Thu, chi PABT'!$L$11:$L$20001,'7. D.Kiến thu, chi PABT'!$G15,'9. Thu, chi PABT'!$M$11:$M$20001,'7. D.Kiến thu, chi PABT'!$H15,'9. Thu, chi PABT'!$B$11:$B$20001,'7. D.Kiến thu, chi PABT'!$C15,'9. Thu, chi PABT'!$D$11:$D$20001,"Tạm ứng",'9. Thu, chi PABT'!$R$11:$R$20001,"&lt;"&amp;'7. D.Kiến thu, chi PABT'!$B15)</f>
        <v>0</v>
      </c>
      <c r="K15" s="98">
        <f>SUMIFS('9. Thu, chi PABT'!$T$11:$T$20001,'9. Thu, chi PABT'!$J$11:$J$20001,'7. D.Kiến thu, chi PABT'!$E15,'9. Thu, chi PABT'!$K$11:$K$20001,'7. D.Kiến thu, chi PABT'!$F15,'9. Thu, chi PABT'!$L$11:$L$20001,'7. D.Kiến thu, chi PABT'!$G15,'9. Thu, chi PABT'!$M$11:$M$20001,'7. D.Kiến thu, chi PABT'!$H15,'9. Thu, chi PABT'!$B$11:$B$20001,'7. D.Kiến thu, chi PABT'!$C15,'9. Thu, chi PABT'!$B$11:$B$20001,"&lt;&gt;"&amp;"Tạm ứng",'9. Thu, chi PABT'!$D$11:$D$20001,"&lt;&gt;"&amp;"Tạm ứng",'9. Thu, chi PABT'!$F$11:$F$20001,"",'9. Thu, chi PABT'!$R$11:$R$20001,"&lt;"&amp;'7. D.Kiến thu, chi PABT'!$B15)-SUMIFS('9. Thu, chi PABT'!$U$11:$U$20003,'9. Thu, chi PABT'!$J$11:$J$20003,'7. D.Kiến thu, chi PABT'!$E15,'9. Thu, chi PABT'!$K$11:$K$20003,'7. D.Kiến thu, chi PABT'!$F15,'9. Thu, chi PABT'!$L$11:$L$20003,'7. D.Kiến thu, chi PABT'!$G15,'9. Thu, chi PABT'!$M$11:$M$20003,'7. D.Kiến thu, chi PABT'!$H15,'9. Thu, chi PABT'!$B$11:$B$20003,'7. D.Kiến thu, chi PABT'!$C15,'9. Thu, chi PABT'!$F$11:$F$20003,"",'9. Thu, chi PABT'!$R$11:$R$20003,"&lt;"&amp;'7. D.Kiến thu, chi PABT'!$B15)</f>
        <v>0</v>
      </c>
      <c r="L15" s="98">
        <f>SUMIFS('5. DS hộ thu hồi PABT'!$H$10:$H$20000,'5. DS hộ thu hồi PABT'!$D$10:$D$20000,'7. D.Kiến thu, chi PABT'!$E15,'5. DS hộ thu hồi PABT'!$E$10:$E$20000,'7. D.Kiến thu, chi PABT'!$F15,'5. DS hộ thu hồi PABT'!$F$10:$F$20000,'7. D.Kiến thu, chi PABT'!$G15,'5. DS hộ thu hồi PABT'!$G$10:$G$20000,'7. D.Kiến thu, chi PABT'!$H15,'5. DS hộ thu hồi PABT'!$L$10:$L$20000,"Thu hồi",'5. DS hộ thu hồi PABT'!$B$10:$B$20000,'7. D.Kiến thu, chi PABT'!$B15,'5. DS hộ thu hồi PABT'!$C$10:$C$20000,'7. D.Kiến thu, chi PABT'!$C15)</f>
        <v>0</v>
      </c>
      <c r="M15" s="98">
        <f>SUMIFS('5. DS hộ thu hồi PABT'!$I$10:$I$20002,'5. DS hộ thu hồi PABT'!$D$10:$D$20002,'7. D.Kiến thu, chi PABT'!$E15,'5. DS hộ thu hồi PABT'!$E$10:$E$20002,'7. D.Kiến thu, chi PABT'!$F15,'5. DS hộ thu hồi PABT'!$F$10:$F$20002,'7. D.Kiến thu, chi PABT'!$G15,'5. DS hộ thu hồi PABT'!$G$10:$G$20002,'7. D.Kiến thu, chi PABT'!$H15,'5. DS hộ thu hồi PABT'!$C$10:$C$20002,'7. D.Kiến thu, chi PABT'!$C15,'5. DS hộ thu hồi PABT'!$B$10:$B$20002,'7. D.Kiến thu, chi PABT'!$B15,'5. DS hộ thu hồi PABT'!$L$10:$L$20002,"Thu hồi")</f>
        <v>0</v>
      </c>
      <c r="N15" s="125">
        <f t="shared" si="0"/>
        <v>600000000</v>
      </c>
      <c r="O15" s="133">
        <v>150000000</v>
      </c>
      <c r="P15" s="98">
        <f>SUMIFS('9. Thu, chi PABT'!$T$11:$T$20001,'9. Thu, chi PABT'!$J$11:$J$20001,'7. D.Kiến thu, chi PABT'!$E15,'9. Thu, chi PABT'!$K$11:$K$20001,'7. D.Kiến thu, chi PABT'!$F15,'9. Thu, chi PABT'!$L$11:$L$20001,'7. D.Kiến thu, chi PABT'!$G15,'9. Thu, chi PABT'!$M$11:$M$20001,'7. D.Kiến thu, chi PABT'!$H15,'9. Thu, chi PABT'!$B$11:$B$20001,'7. D.Kiến thu, chi PABT'!$C15,'9. Thu, chi PABT'!$F$11:$F$20001,"",'9. Thu, chi PABT'!$D$11:$D$20001,IF('7. D.Kiến thu, chi PABT'!$D15="","",$D15),'9. Thu, chi PABT'!$R$11:$R$20001,"="&amp;'7. D.Kiến thu, chi PABT'!$B15)</f>
        <v>150000000</v>
      </c>
      <c r="Q15" s="98">
        <f>SUMIFS('9. Thu, chi PABT'!$U$11:$U$20003,'9. Thu, chi PABT'!$J$11:$J$20003,'7. D.Kiến thu, chi PABT'!$E15,'9. Thu, chi PABT'!$K$11:$K$20003,'7. D.Kiến thu, chi PABT'!$F15,'9. Thu, chi PABT'!$L$11:$L$20003,'7. D.Kiến thu, chi PABT'!$G15,'9. Thu, chi PABT'!$M$11:$M$20003,'7. D.Kiến thu, chi PABT'!$H15,'9. Thu, chi PABT'!$B$11:$B$20003,'7. D.Kiến thu, chi PABT'!$C15,'9. Thu, chi PABT'!$R$11:$R$20003,"="&amp;'7. D.Kiến thu, chi PABT'!$B15)</f>
        <v>0</v>
      </c>
      <c r="R15" s="41">
        <f t="shared" si="1"/>
        <v>450000000</v>
      </c>
    </row>
    <row r="16" spans="1:18" ht="17.45" customHeight="1" x14ac:dyDescent="0.25">
      <c r="A16" s="7">
        <v>7</v>
      </c>
      <c r="B16" s="67">
        <v>45359</v>
      </c>
      <c r="C16" s="8">
        <v>120</v>
      </c>
      <c r="D16" s="8"/>
      <c r="E16" s="8" t="s">
        <v>110</v>
      </c>
      <c r="F16" s="8" t="s">
        <v>152</v>
      </c>
      <c r="G16" s="8" t="s">
        <v>112</v>
      </c>
      <c r="H16" s="97" t="s">
        <v>114</v>
      </c>
      <c r="I16" s="132">
        <f>SUMIFS('4. C.Tiết P.Án B.Thường'!$N$11:$N$19956,'4. C.Tiết P.Án B.Thường'!$J$11:$J$19956,'7. D.Kiến thu, chi PABT'!$E16,'4. C.Tiết P.Án B.Thường'!$K$11:$K$19956,'7. D.Kiến thu, chi PABT'!$F16,'4. C.Tiết P.Án B.Thường'!$L$11:$L$19956,'7. D.Kiến thu, chi PABT'!$G16,'4. C.Tiết P.Án B.Thường'!$M$11:$M$19956,'7. D.Kiến thu, chi PABT'!$H16,'4. C.Tiết P.Án B.Thường'!$B$11:$B$19956,'7. D.Kiến thu, chi PABT'!$C16,'4. C.Tiết P.Án B.Thường'!$B$11:$B$19956,"&lt;&gt;"&amp;"Tạm ứng",'4. C.Tiết P.Án B.Thường'!$D$11:$D$19956,"",'4. C.Tiết P.Án B.Thường'!$C$11:$C$19956,"&lt;="&amp;'7. D.Kiến thu, chi PABT'!$B16)+SUMIFS('4. C.Tiết P.Án B.Thường'!$N$11:$N$19956,'4. C.Tiết P.Án B.Thường'!$J$11:$J$19956,'7. D.Kiến thu, chi PABT'!$E16,'4. C.Tiết P.Án B.Thường'!$K$11:$K$19956,'7. D.Kiến thu, chi PABT'!$F16,'4. C.Tiết P.Án B.Thường'!$L$11:$L$19956,'7. D.Kiến thu, chi PABT'!$G16,'4. C.Tiết P.Án B.Thường'!$M$11:$M$19956,'7. D.Kiến thu, chi PABT'!$H16,'4. C.Tiết P.Án B.Thường'!$B$11:$B$19956,'7. D.Kiến thu, chi PABT'!$C16,'4. C.Tiết P.Án B.Thường'!$D$11:$D$19956,"&lt;&gt;"&amp;"",'4. C.Tiết P.Án B.Thường'!$D$11:$D$19956,"&lt;&gt;"&amp;"Tạm ứng",'4. C.Tiết P.Án B.Thường'!$E$11:$E$19956,"&lt;="&amp;'7. D.Kiến thu, chi PABT'!$B16)</f>
        <v>600000000</v>
      </c>
      <c r="J16" s="98">
        <f>SUMIFS('9. Thu, chi PABT'!$T$11:$T$20001,'9. Thu, chi PABT'!$J$11:$J$20001,'7. D.Kiến thu, chi PABT'!$E16,'9. Thu, chi PABT'!$K$11:$K$20001,'7. D.Kiến thu, chi PABT'!$F16,'9. Thu, chi PABT'!$L$11:$L$20001,'7. D.Kiến thu, chi PABT'!$G16,'9. Thu, chi PABT'!$M$11:$M$20001,'7. D.Kiến thu, chi PABT'!$H16,'9. Thu, chi PABT'!$B$11:$B$20001,'7. D.Kiến thu, chi PABT'!$C16,'9. Thu, chi PABT'!$B$11:$B$20001,"Tạm ứng",'9. Thu, chi PABT'!$R$11:$R$20001,"&lt;"&amp;'7. D.Kiến thu, chi PABT'!$B16)+SUMIFS('9. Thu, chi PABT'!$T$11:$T$20001,'9. Thu, chi PABT'!$J$11:$J$20001,'7. D.Kiến thu, chi PABT'!$E16,'9. Thu, chi PABT'!$K$11:$K$20001,'7. D.Kiến thu, chi PABT'!$F16,'9. Thu, chi PABT'!$L$11:$L$20001,'7. D.Kiến thu, chi PABT'!$G16,'9. Thu, chi PABT'!$M$11:$M$20001,'7. D.Kiến thu, chi PABT'!$H16,'9. Thu, chi PABT'!$B$11:$B$20001,'7. D.Kiến thu, chi PABT'!$C16,'9. Thu, chi PABT'!$D$11:$D$20001,"Tạm ứng",'9. Thu, chi PABT'!$R$11:$R$20001,"&lt;"&amp;'7. D.Kiến thu, chi PABT'!$B16)</f>
        <v>0</v>
      </c>
      <c r="K16" s="98">
        <f>SUMIFS('9. Thu, chi PABT'!$T$11:$T$20001,'9. Thu, chi PABT'!$J$11:$J$20001,'7. D.Kiến thu, chi PABT'!$E16,'9. Thu, chi PABT'!$K$11:$K$20001,'7. D.Kiến thu, chi PABT'!$F16,'9. Thu, chi PABT'!$L$11:$L$20001,'7. D.Kiến thu, chi PABT'!$G16,'9. Thu, chi PABT'!$M$11:$M$20001,'7. D.Kiến thu, chi PABT'!$H16,'9. Thu, chi PABT'!$B$11:$B$20001,'7. D.Kiến thu, chi PABT'!$C16,'9. Thu, chi PABT'!$B$11:$B$20001,"&lt;&gt;"&amp;"Tạm ứng",'9. Thu, chi PABT'!$D$11:$D$20001,"&lt;&gt;"&amp;"Tạm ứng",'9. Thu, chi PABT'!$F$11:$F$20001,"",'9. Thu, chi PABT'!$R$11:$R$20001,"&lt;"&amp;'7. D.Kiến thu, chi PABT'!$B16)-SUMIFS('9. Thu, chi PABT'!$U$11:$U$20003,'9. Thu, chi PABT'!$J$11:$J$20003,'7. D.Kiến thu, chi PABT'!$E16,'9. Thu, chi PABT'!$K$11:$K$20003,'7. D.Kiến thu, chi PABT'!$F16,'9. Thu, chi PABT'!$L$11:$L$20003,'7. D.Kiến thu, chi PABT'!$G16,'9. Thu, chi PABT'!$M$11:$M$20003,'7. D.Kiến thu, chi PABT'!$H16,'9. Thu, chi PABT'!$B$11:$B$20003,'7. D.Kiến thu, chi PABT'!$C16,'9. Thu, chi PABT'!$F$11:$F$20003,"",'9. Thu, chi PABT'!$R$11:$R$20003,"&lt;"&amp;'7. D.Kiến thu, chi PABT'!$B16)</f>
        <v>150000000</v>
      </c>
      <c r="L16" s="98">
        <f>SUMIFS('5. DS hộ thu hồi PABT'!$H$10:$H$20000,'5. DS hộ thu hồi PABT'!$D$10:$D$20000,'7. D.Kiến thu, chi PABT'!$E16,'5. DS hộ thu hồi PABT'!$E$10:$E$20000,'7. D.Kiến thu, chi PABT'!$F16,'5. DS hộ thu hồi PABT'!$F$10:$F$20000,'7. D.Kiến thu, chi PABT'!$G16,'5. DS hộ thu hồi PABT'!$G$10:$G$20000,'7. D.Kiến thu, chi PABT'!$H16,'5. DS hộ thu hồi PABT'!$L$10:$L$20000,"Thu hồi",'5. DS hộ thu hồi PABT'!$B$10:$B$20000,'7. D.Kiến thu, chi PABT'!$B16,'5. DS hộ thu hồi PABT'!$C$10:$C$20000,'7. D.Kiến thu, chi PABT'!$C16)</f>
        <v>0</v>
      </c>
      <c r="M16" s="98">
        <f>SUMIFS('5. DS hộ thu hồi PABT'!$I$10:$I$20002,'5. DS hộ thu hồi PABT'!$D$10:$D$20002,'7. D.Kiến thu, chi PABT'!$E16,'5. DS hộ thu hồi PABT'!$E$10:$E$20002,'7. D.Kiến thu, chi PABT'!$F16,'5. DS hộ thu hồi PABT'!$F$10:$F$20002,'7. D.Kiến thu, chi PABT'!$G16,'5. DS hộ thu hồi PABT'!$G$10:$G$20002,'7. D.Kiến thu, chi PABT'!$H16,'5. DS hộ thu hồi PABT'!$C$10:$C$20002,'7. D.Kiến thu, chi PABT'!$C16,'5. DS hộ thu hồi PABT'!$B$10:$B$20002,'7. D.Kiến thu, chi PABT'!$B16,'5. DS hộ thu hồi PABT'!$L$10:$L$20002,"Thu hồi")</f>
        <v>0</v>
      </c>
      <c r="N16" s="125">
        <f t="shared" si="0"/>
        <v>450000000</v>
      </c>
      <c r="O16" s="133">
        <v>250000000</v>
      </c>
      <c r="P16" s="98">
        <f>SUMIFS('9. Thu, chi PABT'!$T$11:$T$20001,'9. Thu, chi PABT'!$J$11:$J$20001,'7. D.Kiến thu, chi PABT'!$E16,'9. Thu, chi PABT'!$K$11:$K$20001,'7. D.Kiến thu, chi PABT'!$F16,'9. Thu, chi PABT'!$L$11:$L$20001,'7. D.Kiến thu, chi PABT'!$G16,'9. Thu, chi PABT'!$M$11:$M$20001,'7. D.Kiến thu, chi PABT'!$H16,'9. Thu, chi PABT'!$B$11:$B$20001,'7. D.Kiến thu, chi PABT'!$C16,'9. Thu, chi PABT'!$F$11:$F$20001,"",'9. Thu, chi PABT'!$D$11:$D$20001,IF('7. D.Kiến thu, chi PABT'!$D16="","",$D16),'9. Thu, chi PABT'!$R$11:$R$20001,"="&amp;'7. D.Kiến thu, chi PABT'!$B16)</f>
        <v>250000000</v>
      </c>
      <c r="Q16" s="98">
        <f>SUMIFS('9. Thu, chi PABT'!$U$11:$U$20003,'9. Thu, chi PABT'!$J$11:$J$20003,'7. D.Kiến thu, chi PABT'!$E16,'9. Thu, chi PABT'!$K$11:$K$20003,'7. D.Kiến thu, chi PABT'!$F16,'9. Thu, chi PABT'!$L$11:$L$20003,'7. D.Kiến thu, chi PABT'!$G16,'9. Thu, chi PABT'!$M$11:$M$20003,'7. D.Kiến thu, chi PABT'!$H16,'9. Thu, chi PABT'!$B$11:$B$20003,'7. D.Kiến thu, chi PABT'!$C16,'9. Thu, chi PABT'!$R$11:$R$20003,"="&amp;'7. D.Kiến thu, chi PABT'!$B16)</f>
        <v>0</v>
      </c>
      <c r="R16" s="41">
        <f t="shared" si="1"/>
        <v>200000000</v>
      </c>
    </row>
    <row r="17" spans="1:18" ht="17.45" customHeight="1" x14ac:dyDescent="0.25">
      <c r="A17" s="7">
        <v>8</v>
      </c>
      <c r="B17" s="67">
        <v>45362</v>
      </c>
      <c r="C17" s="8">
        <v>120</v>
      </c>
      <c r="D17" s="8">
        <v>121</v>
      </c>
      <c r="E17" s="8" t="s">
        <v>110</v>
      </c>
      <c r="F17" s="8" t="s">
        <v>152</v>
      </c>
      <c r="G17" s="8" t="s">
        <v>112</v>
      </c>
      <c r="H17" s="97" t="s">
        <v>114</v>
      </c>
      <c r="I17" s="132">
        <f>SUMIFS('4. C.Tiết P.Án B.Thường'!$N$11:$N$19956,'4. C.Tiết P.Án B.Thường'!$J$11:$J$19956,'7. D.Kiến thu, chi PABT'!$E17,'4. C.Tiết P.Án B.Thường'!$K$11:$K$19956,'7. D.Kiến thu, chi PABT'!$F17,'4. C.Tiết P.Án B.Thường'!$L$11:$L$19956,'7. D.Kiến thu, chi PABT'!$G17,'4. C.Tiết P.Án B.Thường'!$M$11:$M$19956,'7. D.Kiến thu, chi PABT'!$H17,'4. C.Tiết P.Án B.Thường'!$B$11:$B$19956,'7. D.Kiến thu, chi PABT'!$C17,'4. C.Tiết P.Án B.Thường'!$B$11:$B$19956,"&lt;&gt;"&amp;"Tạm ứng",'4. C.Tiết P.Án B.Thường'!$D$11:$D$19956,"",'4. C.Tiết P.Án B.Thường'!$C$11:$C$19956,"&lt;="&amp;'7. D.Kiến thu, chi PABT'!$B17)+SUMIFS('4. C.Tiết P.Án B.Thường'!$N$11:$N$19956,'4. C.Tiết P.Án B.Thường'!$J$11:$J$19956,'7. D.Kiến thu, chi PABT'!$E17,'4. C.Tiết P.Án B.Thường'!$K$11:$K$19956,'7. D.Kiến thu, chi PABT'!$F17,'4. C.Tiết P.Án B.Thường'!$L$11:$L$19956,'7. D.Kiến thu, chi PABT'!$G17,'4. C.Tiết P.Án B.Thường'!$M$11:$M$19956,'7. D.Kiến thu, chi PABT'!$H17,'4. C.Tiết P.Án B.Thường'!$B$11:$B$19956,'7. D.Kiến thu, chi PABT'!$C17,'4. C.Tiết P.Án B.Thường'!$D$11:$D$19956,"&lt;&gt;"&amp;"",'4. C.Tiết P.Án B.Thường'!$D$11:$D$19956,"&lt;&gt;"&amp;"Tạm ứng",'4. C.Tiết P.Án B.Thường'!$E$11:$E$19956,"&lt;="&amp;'7. D.Kiến thu, chi PABT'!$B17)</f>
        <v>1100000000</v>
      </c>
      <c r="J17" s="98">
        <f>SUMIFS('9. Thu, chi PABT'!$T$11:$T$20001,'9. Thu, chi PABT'!$J$11:$J$20001,'7. D.Kiến thu, chi PABT'!$E17,'9. Thu, chi PABT'!$K$11:$K$20001,'7. D.Kiến thu, chi PABT'!$F17,'9. Thu, chi PABT'!$L$11:$L$20001,'7. D.Kiến thu, chi PABT'!$G17,'9. Thu, chi PABT'!$M$11:$M$20001,'7. D.Kiến thu, chi PABT'!$H17,'9. Thu, chi PABT'!$B$11:$B$20001,'7. D.Kiến thu, chi PABT'!$C17,'9. Thu, chi PABT'!$B$11:$B$20001,"Tạm ứng",'9. Thu, chi PABT'!$R$11:$R$20001,"&lt;"&amp;'7. D.Kiến thu, chi PABT'!$B17)+SUMIFS('9. Thu, chi PABT'!$T$11:$T$20001,'9. Thu, chi PABT'!$J$11:$J$20001,'7. D.Kiến thu, chi PABT'!$E17,'9. Thu, chi PABT'!$K$11:$K$20001,'7. D.Kiến thu, chi PABT'!$F17,'9. Thu, chi PABT'!$L$11:$L$20001,'7. D.Kiến thu, chi PABT'!$G17,'9. Thu, chi PABT'!$M$11:$M$20001,'7. D.Kiến thu, chi PABT'!$H17,'9. Thu, chi PABT'!$B$11:$B$20001,'7. D.Kiến thu, chi PABT'!$C17,'9. Thu, chi PABT'!$D$11:$D$20001,"Tạm ứng",'9. Thu, chi PABT'!$R$11:$R$20001,"&lt;"&amp;'7. D.Kiến thu, chi PABT'!$B17)</f>
        <v>0</v>
      </c>
      <c r="K17" s="98">
        <f>SUMIFS('9. Thu, chi PABT'!$T$11:$T$20001,'9. Thu, chi PABT'!$J$11:$J$20001,'7. D.Kiến thu, chi PABT'!$E17,'9. Thu, chi PABT'!$K$11:$K$20001,'7. D.Kiến thu, chi PABT'!$F17,'9. Thu, chi PABT'!$L$11:$L$20001,'7. D.Kiến thu, chi PABT'!$G17,'9. Thu, chi PABT'!$M$11:$M$20001,'7. D.Kiến thu, chi PABT'!$H17,'9. Thu, chi PABT'!$B$11:$B$20001,'7. D.Kiến thu, chi PABT'!$C17,'9. Thu, chi PABT'!$B$11:$B$20001,"&lt;&gt;"&amp;"Tạm ứng",'9. Thu, chi PABT'!$D$11:$D$20001,"&lt;&gt;"&amp;"Tạm ứng",'9. Thu, chi PABT'!$F$11:$F$20001,"",'9. Thu, chi PABT'!$R$11:$R$20001,"&lt;"&amp;'7. D.Kiến thu, chi PABT'!$B17)-SUMIFS('9. Thu, chi PABT'!$U$11:$U$20003,'9. Thu, chi PABT'!$J$11:$J$20003,'7. D.Kiến thu, chi PABT'!$E17,'9. Thu, chi PABT'!$K$11:$K$20003,'7. D.Kiến thu, chi PABT'!$F17,'9. Thu, chi PABT'!$L$11:$L$20003,'7. D.Kiến thu, chi PABT'!$G17,'9. Thu, chi PABT'!$M$11:$M$20003,'7. D.Kiến thu, chi PABT'!$H17,'9. Thu, chi PABT'!$B$11:$B$20003,'7. D.Kiến thu, chi PABT'!$C17,'9. Thu, chi PABT'!$F$11:$F$20003,"",'9. Thu, chi PABT'!$R$11:$R$20003,"&lt;"&amp;'7. D.Kiến thu, chi PABT'!$B17)</f>
        <v>400000000</v>
      </c>
      <c r="L17" s="98">
        <f>SUMIFS('5. DS hộ thu hồi PABT'!$H$10:$H$20000,'5. DS hộ thu hồi PABT'!$D$10:$D$20000,'7. D.Kiến thu, chi PABT'!$E17,'5. DS hộ thu hồi PABT'!$E$10:$E$20000,'7. D.Kiến thu, chi PABT'!$F17,'5. DS hộ thu hồi PABT'!$F$10:$F$20000,'7. D.Kiến thu, chi PABT'!$G17,'5. DS hộ thu hồi PABT'!$G$10:$G$20000,'7. D.Kiến thu, chi PABT'!$H17,'5. DS hộ thu hồi PABT'!$L$10:$L$20000,"Thu hồi",'5. DS hộ thu hồi PABT'!$B$10:$B$20000,'7. D.Kiến thu, chi PABT'!$B17,'5. DS hộ thu hồi PABT'!$C$10:$C$20000,'7. D.Kiến thu, chi PABT'!$C17)</f>
        <v>0</v>
      </c>
      <c r="M17" s="98">
        <f>SUMIFS('5. DS hộ thu hồi PABT'!$I$10:$I$20002,'5. DS hộ thu hồi PABT'!$D$10:$D$20002,'7. D.Kiến thu, chi PABT'!$E17,'5. DS hộ thu hồi PABT'!$E$10:$E$20002,'7. D.Kiến thu, chi PABT'!$F17,'5. DS hộ thu hồi PABT'!$F$10:$F$20002,'7. D.Kiến thu, chi PABT'!$G17,'5. DS hộ thu hồi PABT'!$G$10:$G$20002,'7. D.Kiến thu, chi PABT'!$H17,'5. DS hộ thu hồi PABT'!$C$10:$C$20002,'7. D.Kiến thu, chi PABT'!$C17,'5. DS hộ thu hồi PABT'!$B$10:$B$20002,'7. D.Kiến thu, chi PABT'!$B17,'5. DS hộ thu hồi PABT'!$L$10:$L$20002,"Thu hồi")</f>
        <v>0</v>
      </c>
      <c r="N17" s="125">
        <f t="shared" si="0"/>
        <v>700000000</v>
      </c>
      <c r="O17" s="133">
        <v>500000000</v>
      </c>
      <c r="P17" s="98">
        <f>SUMIFS('9. Thu, chi PABT'!$T$11:$T$20001,'9. Thu, chi PABT'!$J$11:$J$20001,'7. D.Kiến thu, chi PABT'!$E17,'9. Thu, chi PABT'!$K$11:$K$20001,'7. D.Kiến thu, chi PABT'!$F17,'9. Thu, chi PABT'!$L$11:$L$20001,'7. D.Kiến thu, chi PABT'!$G17,'9. Thu, chi PABT'!$M$11:$M$20001,'7. D.Kiến thu, chi PABT'!$H17,'9. Thu, chi PABT'!$B$11:$B$20001,'7. D.Kiến thu, chi PABT'!$C17,'9. Thu, chi PABT'!$F$11:$F$20001,"",'9. Thu, chi PABT'!$D$11:$D$20001,IF('7. D.Kiến thu, chi PABT'!$D17="","",$D17),'9. Thu, chi PABT'!$R$11:$R$20001,"="&amp;'7. D.Kiến thu, chi PABT'!$B17)</f>
        <v>500000000</v>
      </c>
      <c r="Q17" s="98">
        <f>SUMIFS('9. Thu, chi PABT'!$U$11:$U$20003,'9. Thu, chi PABT'!$J$11:$J$20003,'7. D.Kiến thu, chi PABT'!$E17,'9. Thu, chi PABT'!$K$11:$K$20003,'7. D.Kiến thu, chi PABT'!$F17,'9. Thu, chi PABT'!$L$11:$L$20003,'7. D.Kiến thu, chi PABT'!$G17,'9. Thu, chi PABT'!$M$11:$M$20003,'7. D.Kiến thu, chi PABT'!$H17,'9. Thu, chi PABT'!$B$11:$B$20003,'7. D.Kiến thu, chi PABT'!$C17,'9. Thu, chi PABT'!$R$11:$R$20003,"="&amp;'7. D.Kiến thu, chi PABT'!$B17)</f>
        <v>0</v>
      </c>
      <c r="R17" s="41">
        <f t="shared" si="1"/>
        <v>200000000</v>
      </c>
    </row>
    <row r="18" spans="1:18" ht="17.45" customHeight="1" x14ac:dyDescent="0.25">
      <c r="A18" s="7">
        <v>9</v>
      </c>
      <c r="B18" s="67">
        <v>45388</v>
      </c>
      <c r="C18" s="8">
        <v>130</v>
      </c>
      <c r="D18" s="8"/>
      <c r="E18" s="8" t="s">
        <v>110</v>
      </c>
      <c r="F18" s="8" t="s">
        <v>152</v>
      </c>
      <c r="G18" s="8" t="s">
        <v>112</v>
      </c>
      <c r="H18" s="97" t="s">
        <v>114</v>
      </c>
      <c r="I18" s="132">
        <f>SUMIFS('4. C.Tiết P.Án B.Thường'!$N$11:$N$19956,'4. C.Tiết P.Án B.Thường'!$J$11:$J$19956,'7. D.Kiến thu, chi PABT'!$E18,'4. C.Tiết P.Án B.Thường'!$K$11:$K$19956,'7. D.Kiến thu, chi PABT'!$F18,'4. C.Tiết P.Án B.Thường'!$L$11:$L$19956,'7. D.Kiến thu, chi PABT'!$G18,'4. C.Tiết P.Án B.Thường'!$M$11:$M$19956,'7. D.Kiến thu, chi PABT'!$H18,'4. C.Tiết P.Án B.Thường'!$B$11:$B$19956,'7. D.Kiến thu, chi PABT'!$C18,'4. C.Tiết P.Án B.Thường'!$B$11:$B$19956,"&lt;&gt;"&amp;"Tạm ứng",'4. C.Tiết P.Án B.Thường'!$D$11:$D$19956,"",'4. C.Tiết P.Án B.Thường'!$C$11:$C$19956,"&lt;="&amp;'7. D.Kiến thu, chi PABT'!$B18)+SUMIFS('4. C.Tiết P.Án B.Thường'!$N$11:$N$19956,'4. C.Tiết P.Án B.Thường'!$J$11:$J$19956,'7. D.Kiến thu, chi PABT'!$E18,'4. C.Tiết P.Án B.Thường'!$K$11:$K$19956,'7. D.Kiến thu, chi PABT'!$F18,'4. C.Tiết P.Án B.Thường'!$L$11:$L$19956,'7. D.Kiến thu, chi PABT'!$G18,'4. C.Tiết P.Án B.Thường'!$M$11:$M$19956,'7. D.Kiến thu, chi PABT'!$H18,'4. C.Tiết P.Án B.Thường'!$B$11:$B$19956,'7. D.Kiến thu, chi PABT'!$C18,'4. C.Tiết P.Án B.Thường'!$D$11:$D$19956,"&lt;&gt;"&amp;"",'4. C.Tiết P.Án B.Thường'!$D$11:$D$19956,"&lt;&gt;"&amp;"Tạm ứng",'4. C.Tiết P.Án B.Thường'!$E$11:$E$19956,"&lt;="&amp;'7. D.Kiến thu, chi PABT'!$B18)</f>
        <v>600000000</v>
      </c>
      <c r="J18" s="98">
        <f>SUMIFS('9. Thu, chi PABT'!$T$11:$T$20001,'9. Thu, chi PABT'!$J$11:$J$20001,'7. D.Kiến thu, chi PABT'!$E18,'9. Thu, chi PABT'!$K$11:$K$20001,'7. D.Kiến thu, chi PABT'!$F18,'9. Thu, chi PABT'!$L$11:$L$20001,'7. D.Kiến thu, chi PABT'!$G18,'9. Thu, chi PABT'!$M$11:$M$20001,'7. D.Kiến thu, chi PABT'!$H18,'9. Thu, chi PABT'!$B$11:$B$20001,'7. D.Kiến thu, chi PABT'!$C18,'9. Thu, chi PABT'!$B$11:$B$20001,"Tạm ứng",'9. Thu, chi PABT'!$R$11:$R$20001,"&lt;"&amp;'7. D.Kiến thu, chi PABT'!$B18)+SUMIFS('9. Thu, chi PABT'!$T$11:$T$20001,'9. Thu, chi PABT'!$J$11:$J$20001,'7. D.Kiến thu, chi PABT'!$E18,'9. Thu, chi PABT'!$K$11:$K$20001,'7. D.Kiến thu, chi PABT'!$F18,'9. Thu, chi PABT'!$L$11:$L$20001,'7. D.Kiến thu, chi PABT'!$G18,'9. Thu, chi PABT'!$M$11:$M$20001,'7. D.Kiến thu, chi PABT'!$H18,'9. Thu, chi PABT'!$B$11:$B$20001,'7. D.Kiến thu, chi PABT'!$C18,'9. Thu, chi PABT'!$D$11:$D$20001,"Tạm ứng",'9. Thu, chi PABT'!$R$11:$R$20001,"&lt;"&amp;'7. D.Kiến thu, chi PABT'!$B18)</f>
        <v>0</v>
      </c>
      <c r="K18" s="98">
        <f>SUMIFS('9. Thu, chi PABT'!$T$11:$T$20001,'9. Thu, chi PABT'!$J$11:$J$20001,'7. D.Kiến thu, chi PABT'!$E18,'9. Thu, chi PABT'!$K$11:$K$20001,'7. D.Kiến thu, chi PABT'!$F18,'9. Thu, chi PABT'!$L$11:$L$20001,'7. D.Kiến thu, chi PABT'!$G18,'9. Thu, chi PABT'!$M$11:$M$20001,'7. D.Kiến thu, chi PABT'!$H18,'9. Thu, chi PABT'!$B$11:$B$20001,'7. D.Kiến thu, chi PABT'!$C18,'9. Thu, chi PABT'!$B$11:$B$20001,"&lt;&gt;"&amp;"Tạm ứng",'9. Thu, chi PABT'!$D$11:$D$20001,"&lt;&gt;"&amp;"Tạm ứng",'9. Thu, chi PABT'!$F$11:$F$20001,"",'9. Thu, chi PABT'!$R$11:$R$20001,"&lt;"&amp;'7. D.Kiến thu, chi PABT'!$B18)-SUMIFS('9. Thu, chi PABT'!$U$11:$U$20003,'9. Thu, chi PABT'!$J$11:$J$20003,'7. D.Kiến thu, chi PABT'!$E18,'9. Thu, chi PABT'!$K$11:$K$20003,'7. D.Kiến thu, chi PABT'!$F18,'9. Thu, chi PABT'!$L$11:$L$20003,'7. D.Kiến thu, chi PABT'!$G18,'9. Thu, chi PABT'!$M$11:$M$20003,'7. D.Kiến thu, chi PABT'!$H18,'9. Thu, chi PABT'!$B$11:$B$20003,'7. D.Kiến thu, chi PABT'!$C18,'9. Thu, chi PABT'!$F$11:$F$20003,"",'9. Thu, chi PABT'!$R$11:$R$20003,"&lt;"&amp;'7. D.Kiến thu, chi PABT'!$B18)</f>
        <v>0</v>
      </c>
      <c r="L18" s="98">
        <f>SUMIFS('5. DS hộ thu hồi PABT'!$H$10:$H$20000,'5. DS hộ thu hồi PABT'!$D$10:$D$20000,'7. D.Kiến thu, chi PABT'!$E18,'5. DS hộ thu hồi PABT'!$E$10:$E$20000,'7. D.Kiến thu, chi PABT'!$F18,'5. DS hộ thu hồi PABT'!$F$10:$F$20000,'7. D.Kiến thu, chi PABT'!$G18,'5. DS hộ thu hồi PABT'!$G$10:$G$20000,'7. D.Kiến thu, chi PABT'!$H18,'5. DS hộ thu hồi PABT'!$L$10:$L$20000,"Thu hồi",'5. DS hộ thu hồi PABT'!$B$10:$B$20000,'7. D.Kiến thu, chi PABT'!$B18,'5. DS hộ thu hồi PABT'!$C$10:$C$20000,'7. D.Kiến thu, chi PABT'!$C18)</f>
        <v>0</v>
      </c>
      <c r="M18" s="98">
        <f>SUMIFS('5. DS hộ thu hồi PABT'!$I$10:$I$20002,'5. DS hộ thu hồi PABT'!$D$10:$D$20002,'7. D.Kiến thu, chi PABT'!$E18,'5. DS hộ thu hồi PABT'!$E$10:$E$20002,'7. D.Kiến thu, chi PABT'!$F18,'5. DS hộ thu hồi PABT'!$F$10:$F$20002,'7. D.Kiến thu, chi PABT'!$G18,'5. DS hộ thu hồi PABT'!$G$10:$G$20002,'7. D.Kiến thu, chi PABT'!$H18,'5. DS hộ thu hồi PABT'!$C$10:$C$20002,'7. D.Kiến thu, chi PABT'!$C18,'5. DS hộ thu hồi PABT'!$B$10:$B$20002,'7. D.Kiến thu, chi PABT'!$B18,'5. DS hộ thu hồi PABT'!$L$10:$L$20002,"Thu hồi")</f>
        <v>0</v>
      </c>
      <c r="N18" s="125">
        <f t="shared" si="0"/>
        <v>600000000</v>
      </c>
      <c r="O18" s="133">
        <v>600000000</v>
      </c>
      <c r="P18" s="98">
        <f>SUMIFS('9. Thu, chi PABT'!$T$11:$T$20001,'9. Thu, chi PABT'!$J$11:$J$20001,'7. D.Kiến thu, chi PABT'!$E18,'9. Thu, chi PABT'!$K$11:$K$20001,'7. D.Kiến thu, chi PABT'!$F18,'9. Thu, chi PABT'!$L$11:$L$20001,'7. D.Kiến thu, chi PABT'!$G18,'9. Thu, chi PABT'!$M$11:$M$20001,'7. D.Kiến thu, chi PABT'!$H18,'9. Thu, chi PABT'!$B$11:$B$20001,'7. D.Kiến thu, chi PABT'!$C18,'9. Thu, chi PABT'!$F$11:$F$20001,"",'9. Thu, chi PABT'!$D$11:$D$20001,IF('7. D.Kiến thu, chi PABT'!$D18="","",$D18),'9. Thu, chi PABT'!$R$11:$R$20001,"="&amp;'7. D.Kiến thu, chi PABT'!$B18)</f>
        <v>600000000</v>
      </c>
      <c r="Q18" s="98">
        <f>SUMIFS('9. Thu, chi PABT'!$U$11:$U$20003,'9. Thu, chi PABT'!$J$11:$J$20003,'7. D.Kiến thu, chi PABT'!$E18,'9. Thu, chi PABT'!$K$11:$K$20003,'7. D.Kiến thu, chi PABT'!$F18,'9. Thu, chi PABT'!$L$11:$L$20003,'7. D.Kiến thu, chi PABT'!$G18,'9. Thu, chi PABT'!$M$11:$M$20003,'7. D.Kiến thu, chi PABT'!$H18,'9. Thu, chi PABT'!$B$11:$B$20003,'7. D.Kiến thu, chi PABT'!$C18,'9. Thu, chi PABT'!$R$11:$R$20003,"="&amp;'7. D.Kiến thu, chi PABT'!$B18)</f>
        <v>0</v>
      </c>
      <c r="R18" s="41">
        <f t="shared" si="1"/>
        <v>0</v>
      </c>
    </row>
    <row r="19" spans="1:18" ht="17.45" customHeight="1" x14ac:dyDescent="0.25">
      <c r="A19" s="7">
        <v>10</v>
      </c>
      <c r="B19" s="67">
        <v>45393</v>
      </c>
      <c r="C19" s="8">
        <v>130</v>
      </c>
      <c r="D19" s="8">
        <v>131</v>
      </c>
      <c r="E19" s="8" t="s">
        <v>110</v>
      </c>
      <c r="F19" s="8" t="s">
        <v>152</v>
      </c>
      <c r="G19" s="8" t="s">
        <v>112</v>
      </c>
      <c r="H19" s="97" t="s">
        <v>114</v>
      </c>
      <c r="I19" s="132">
        <f>SUMIFS('4. C.Tiết P.Án B.Thường'!$N$11:$N$19956,'4. C.Tiết P.Án B.Thường'!$J$11:$J$19956,'7. D.Kiến thu, chi PABT'!$E19,'4. C.Tiết P.Án B.Thường'!$K$11:$K$19956,'7. D.Kiến thu, chi PABT'!$F19,'4. C.Tiết P.Án B.Thường'!$L$11:$L$19956,'7. D.Kiến thu, chi PABT'!$G19,'4. C.Tiết P.Án B.Thường'!$M$11:$M$19956,'7. D.Kiến thu, chi PABT'!$H19,'4. C.Tiết P.Án B.Thường'!$B$11:$B$19956,'7. D.Kiến thu, chi PABT'!$C19,'4. C.Tiết P.Án B.Thường'!$B$11:$B$19956,"&lt;&gt;"&amp;"Tạm ứng",'4. C.Tiết P.Án B.Thường'!$D$11:$D$19956,"",'4. C.Tiết P.Án B.Thường'!$C$11:$C$19956,"&lt;="&amp;'7. D.Kiến thu, chi PABT'!$B19)+SUMIFS('4. C.Tiết P.Án B.Thường'!$N$11:$N$19956,'4. C.Tiết P.Án B.Thường'!$J$11:$J$19956,'7. D.Kiến thu, chi PABT'!$E19,'4. C.Tiết P.Án B.Thường'!$K$11:$K$19956,'7. D.Kiến thu, chi PABT'!$F19,'4. C.Tiết P.Án B.Thường'!$L$11:$L$19956,'7. D.Kiến thu, chi PABT'!$G19,'4. C.Tiết P.Án B.Thường'!$M$11:$M$19956,'7. D.Kiến thu, chi PABT'!$H19,'4. C.Tiết P.Án B.Thường'!$B$11:$B$19956,'7. D.Kiến thu, chi PABT'!$C19,'4. C.Tiết P.Án B.Thường'!$D$11:$D$19956,"&lt;&gt;"&amp;"",'4. C.Tiết P.Án B.Thường'!$D$11:$D$19956,"&lt;&gt;"&amp;"Tạm ứng",'4. C.Tiết P.Án B.Thường'!$E$11:$E$19956,"&lt;="&amp;'7. D.Kiến thu, chi PABT'!$B19)</f>
        <v>1300000000</v>
      </c>
      <c r="J19" s="98">
        <f>SUMIFS('9. Thu, chi PABT'!$T$11:$T$20001,'9. Thu, chi PABT'!$J$11:$J$20001,'7. D.Kiến thu, chi PABT'!$E19,'9. Thu, chi PABT'!$K$11:$K$20001,'7. D.Kiến thu, chi PABT'!$F19,'9. Thu, chi PABT'!$L$11:$L$20001,'7. D.Kiến thu, chi PABT'!$G19,'9. Thu, chi PABT'!$M$11:$M$20001,'7. D.Kiến thu, chi PABT'!$H19,'9. Thu, chi PABT'!$B$11:$B$20001,'7. D.Kiến thu, chi PABT'!$C19,'9. Thu, chi PABT'!$B$11:$B$20001,"Tạm ứng",'9. Thu, chi PABT'!$R$11:$R$20001,"&lt;"&amp;'7. D.Kiến thu, chi PABT'!$B19)+SUMIFS('9. Thu, chi PABT'!$T$11:$T$20001,'9. Thu, chi PABT'!$J$11:$J$20001,'7. D.Kiến thu, chi PABT'!$E19,'9. Thu, chi PABT'!$K$11:$K$20001,'7. D.Kiến thu, chi PABT'!$F19,'9. Thu, chi PABT'!$L$11:$L$20001,'7. D.Kiến thu, chi PABT'!$G19,'9. Thu, chi PABT'!$M$11:$M$20001,'7. D.Kiến thu, chi PABT'!$H19,'9. Thu, chi PABT'!$B$11:$B$20001,'7. D.Kiến thu, chi PABT'!$C19,'9. Thu, chi PABT'!$D$11:$D$20001,"Tạm ứng",'9. Thu, chi PABT'!$R$11:$R$20001,"&lt;"&amp;'7. D.Kiến thu, chi PABT'!$B19)</f>
        <v>0</v>
      </c>
      <c r="K19" s="98">
        <f>SUMIFS('9. Thu, chi PABT'!$T$11:$T$20001,'9. Thu, chi PABT'!$J$11:$J$20001,'7. D.Kiến thu, chi PABT'!$E19,'9. Thu, chi PABT'!$K$11:$K$20001,'7. D.Kiến thu, chi PABT'!$F19,'9. Thu, chi PABT'!$L$11:$L$20001,'7. D.Kiến thu, chi PABT'!$G19,'9. Thu, chi PABT'!$M$11:$M$20001,'7. D.Kiến thu, chi PABT'!$H19,'9. Thu, chi PABT'!$B$11:$B$20001,'7. D.Kiến thu, chi PABT'!$C19,'9. Thu, chi PABT'!$B$11:$B$20001,"&lt;&gt;"&amp;"Tạm ứng",'9. Thu, chi PABT'!$D$11:$D$20001,"&lt;&gt;"&amp;"Tạm ứng",'9. Thu, chi PABT'!$F$11:$F$20001,"",'9. Thu, chi PABT'!$R$11:$R$20001,"&lt;"&amp;'7. D.Kiến thu, chi PABT'!$B19)-SUMIFS('9. Thu, chi PABT'!$U$11:$U$20003,'9. Thu, chi PABT'!$J$11:$J$20003,'7. D.Kiến thu, chi PABT'!$E19,'9. Thu, chi PABT'!$K$11:$K$20003,'7. D.Kiến thu, chi PABT'!$F19,'9. Thu, chi PABT'!$L$11:$L$20003,'7. D.Kiến thu, chi PABT'!$G19,'9. Thu, chi PABT'!$M$11:$M$20003,'7. D.Kiến thu, chi PABT'!$H19,'9. Thu, chi PABT'!$B$11:$B$20003,'7. D.Kiến thu, chi PABT'!$C19,'9. Thu, chi PABT'!$F$11:$F$20003,"",'9. Thu, chi PABT'!$R$11:$R$20003,"&lt;"&amp;'7. D.Kiến thu, chi PABT'!$B19)</f>
        <v>600000000</v>
      </c>
      <c r="L19" s="98">
        <f>SUMIFS('5. DS hộ thu hồi PABT'!$H$10:$H$20000,'5. DS hộ thu hồi PABT'!$D$10:$D$20000,'7. D.Kiến thu, chi PABT'!$E19,'5. DS hộ thu hồi PABT'!$E$10:$E$20000,'7. D.Kiến thu, chi PABT'!$F19,'5. DS hộ thu hồi PABT'!$F$10:$F$20000,'7. D.Kiến thu, chi PABT'!$G19,'5. DS hộ thu hồi PABT'!$G$10:$G$20000,'7. D.Kiến thu, chi PABT'!$H19,'5. DS hộ thu hồi PABT'!$L$10:$L$20000,"Thu hồi",'5. DS hộ thu hồi PABT'!$B$10:$B$20000,'7. D.Kiến thu, chi PABT'!$B19,'5. DS hộ thu hồi PABT'!$C$10:$C$20000,'7. D.Kiến thu, chi PABT'!$C19)</f>
        <v>0</v>
      </c>
      <c r="M19" s="98">
        <f>SUMIFS('5. DS hộ thu hồi PABT'!$I$10:$I$20002,'5. DS hộ thu hồi PABT'!$D$10:$D$20002,'7. D.Kiến thu, chi PABT'!$E19,'5. DS hộ thu hồi PABT'!$E$10:$E$20002,'7. D.Kiến thu, chi PABT'!$F19,'5. DS hộ thu hồi PABT'!$F$10:$F$20002,'7. D.Kiến thu, chi PABT'!$G19,'5. DS hộ thu hồi PABT'!$G$10:$G$20002,'7. D.Kiến thu, chi PABT'!$H19,'5. DS hộ thu hồi PABT'!$C$10:$C$20002,'7. D.Kiến thu, chi PABT'!$C19,'5. DS hộ thu hồi PABT'!$B$10:$B$20002,'7. D.Kiến thu, chi PABT'!$B19,'5. DS hộ thu hồi PABT'!$L$10:$L$20002,"Thu hồi")</f>
        <v>0</v>
      </c>
      <c r="N19" s="125">
        <f t="shared" si="0"/>
        <v>700000000</v>
      </c>
      <c r="O19" s="133">
        <v>700000000</v>
      </c>
      <c r="P19" s="98">
        <f>SUMIFS('9. Thu, chi PABT'!$T$11:$T$20001,'9. Thu, chi PABT'!$J$11:$J$20001,'7. D.Kiến thu, chi PABT'!$E19,'9. Thu, chi PABT'!$K$11:$K$20001,'7. D.Kiến thu, chi PABT'!$F19,'9. Thu, chi PABT'!$L$11:$L$20001,'7. D.Kiến thu, chi PABT'!$G19,'9. Thu, chi PABT'!$M$11:$M$20001,'7. D.Kiến thu, chi PABT'!$H19,'9. Thu, chi PABT'!$B$11:$B$20001,'7. D.Kiến thu, chi PABT'!$C19,'9. Thu, chi PABT'!$F$11:$F$20001,"",'9. Thu, chi PABT'!$D$11:$D$20001,IF('7. D.Kiến thu, chi PABT'!$D19="","",$D19),'9. Thu, chi PABT'!$R$11:$R$20001,"="&amp;'7. D.Kiến thu, chi PABT'!$B19)</f>
        <v>700000000</v>
      </c>
      <c r="Q19" s="98">
        <f>SUMIFS('9. Thu, chi PABT'!$U$11:$U$20003,'9. Thu, chi PABT'!$J$11:$J$20003,'7. D.Kiến thu, chi PABT'!$E19,'9. Thu, chi PABT'!$K$11:$K$20003,'7. D.Kiến thu, chi PABT'!$F19,'9. Thu, chi PABT'!$L$11:$L$20003,'7. D.Kiến thu, chi PABT'!$G19,'9. Thu, chi PABT'!$M$11:$M$20003,'7. D.Kiến thu, chi PABT'!$H19,'9. Thu, chi PABT'!$B$11:$B$20003,'7. D.Kiến thu, chi PABT'!$C19,'9. Thu, chi PABT'!$R$11:$R$20003,"="&amp;'7. D.Kiến thu, chi PABT'!$B19)</f>
        <v>0</v>
      </c>
      <c r="R19" s="41">
        <f t="shared" si="1"/>
        <v>0</v>
      </c>
    </row>
    <row r="20" spans="1:18" ht="17.45" customHeight="1" x14ac:dyDescent="0.25">
      <c r="A20" s="7">
        <v>11</v>
      </c>
      <c r="B20" s="67">
        <v>45398</v>
      </c>
      <c r="C20" s="8">
        <v>130</v>
      </c>
      <c r="D20" s="8">
        <v>132</v>
      </c>
      <c r="E20" s="8" t="s">
        <v>110</v>
      </c>
      <c r="F20" s="8" t="s">
        <v>152</v>
      </c>
      <c r="G20" s="8" t="s">
        <v>112</v>
      </c>
      <c r="H20" s="97" t="s">
        <v>114</v>
      </c>
      <c r="I20" s="132">
        <f>SUMIFS('4. C.Tiết P.Án B.Thường'!$N$11:$N$19956,'4. C.Tiết P.Án B.Thường'!$J$11:$J$19956,'7. D.Kiến thu, chi PABT'!$E20,'4. C.Tiết P.Án B.Thường'!$K$11:$K$19956,'7. D.Kiến thu, chi PABT'!$F20,'4. C.Tiết P.Án B.Thường'!$L$11:$L$19956,'7. D.Kiến thu, chi PABT'!$G20,'4. C.Tiết P.Án B.Thường'!$M$11:$M$19956,'7. D.Kiến thu, chi PABT'!$H20,'4. C.Tiết P.Án B.Thường'!$B$11:$B$19956,'7. D.Kiến thu, chi PABT'!$C20,'4. C.Tiết P.Án B.Thường'!$B$11:$B$19956,"&lt;&gt;"&amp;"Tạm ứng",'4. C.Tiết P.Án B.Thường'!$D$11:$D$19956,"",'4. C.Tiết P.Án B.Thường'!$C$11:$C$19956,"&lt;="&amp;'7. D.Kiến thu, chi PABT'!$B20)+SUMIFS('4. C.Tiết P.Án B.Thường'!$N$11:$N$19956,'4. C.Tiết P.Án B.Thường'!$J$11:$J$19956,'7. D.Kiến thu, chi PABT'!$E20,'4. C.Tiết P.Án B.Thường'!$K$11:$K$19956,'7. D.Kiến thu, chi PABT'!$F20,'4. C.Tiết P.Án B.Thường'!$L$11:$L$19956,'7. D.Kiến thu, chi PABT'!$G20,'4. C.Tiết P.Án B.Thường'!$M$11:$M$19956,'7. D.Kiến thu, chi PABT'!$H20,'4. C.Tiết P.Án B.Thường'!$B$11:$B$19956,'7. D.Kiến thu, chi PABT'!$C20,'4. C.Tiết P.Án B.Thường'!$D$11:$D$19956,"&lt;&gt;"&amp;"",'4. C.Tiết P.Án B.Thường'!$D$11:$D$19956,"&lt;&gt;"&amp;"Tạm ứng",'4. C.Tiết P.Án B.Thường'!$E$11:$E$19956,"&lt;="&amp;'7. D.Kiến thu, chi PABT'!$B20)</f>
        <v>2100000000</v>
      </c>
      <c r="J20" s="98">
        <f>SUMIFS('9. Thu, chi PABT'!$T$11:$T$20001,'9. Thu, chi PABT'!$J$11:$J$20001,'7. D.Kiến thu, chi PABT'!$E20,'9. Thu, chi PABT'!$K$11:$K$20001,'7. D.Kiến thu, chi PABT'!$F20,'9. Thu, chi PABT'!$L$11:$L$20001,'7. D.Kiến thu, chi PABT'!$G20,'9. Thu, chi PABT'!$M$11:$M$20001,'7. D.Kiến thu, chi PABT'!$H20,'9. Thu, chi PABT'!$B$11:$B$20001,'7. D.Kiến thu, chi PABT'!$C20,'9. Thu, chi PABT'!$B$11:$B$20001,"Tạm ứng",'9. Thu, chi PABT'!$R$11:$R$20001,"&lt;"&amp;'7. D.Kiến thu, chi PABT'!$B20)+SUMIFS('9. Thu, chi PABT'!$T$11:$T$20001,'9. Thu, chi PABT'!$J$11:$J$20001,'7. D.Kiến thu, chi PABT'!$E20,'9. Thu, chi PABT'!$K$11:$K$20001,'7. D.Kiến thu, chi PABT'!$F20,'9. Thu, chi PABT'!$L$11:$L$20001,'7. D.Kiến thu, chi PABT'!$G20,'9. Thu, chi PABT'!$M$11:$M$20001,'7. D.Kiến thu, chi PABT'!$H20,'9. Thu, chi PABT'!$B$11:$B$20001,'7. D.Kiến thu, chi PABT'!$C20,'9. Thu, chi PABT'!$D$11:$D$20001,"Tạm ứng",'9. Thu, chi PABT'!$R$11:$R$20001,"&lt;"&amp;'7. D.Kiến thu, chi PABT'!$B20)</f>
        <v>0</v>
      </c>
      <c r="K20" s="98">
        <f>SUMIFS('9. Thu, chi PABT'!$T$11:$T$20001,'9. Thu, chi PABT'!$J$11:$J$20001,'7. D.Kiến thu, chi PABT'!$E20,'9. Thu, chi PABT'!$K$11:$K$20001,'7. D.Kiến thu, chi PABT'!$F20,'9. Thu, chi PABT'!$L$11:$L$20001,'7. D.Kiến thu, chi PABT'!$G20,'9. Thu, chi PABT'!$M$11:$M$20001,'7. D.Kiến thu, chi PABT'!$H20,'9. Thu, chi PABT'!$B$11:$B$20001,'7. D.Kiến thu, chi PABT'!$C20,'9. Thu, chi PABT'!$B$11:$B$20001,"&lt;&gt;"&amp;"Tạm ứng",'9. Thu, chi PABT'!$D$11:$D$20001,"&lt;&gt;"&amp;"Tạm ứng",'9. Thu, chi PABT'!$F$11:$F$20001,"",'9. Thu, chi PABT'!$R$11:$R$20001,"&lt;"&amp;'7. D.Kiến thu, chi PABT'!$B20)-SUMIFS('9. Thu, chi PABT'!$U$11:$U$20003,'9. Thu, chi PABT'!$J$11:$J$20003,'7. D.Kiến thu, chi PABT'!$E20,'9. Thu, chi PABT'!$K$11:$K$20003,'7. D.Kiến thu, chi PABT'!$F20,'9. Thu, chi PABT'!$L$11:$L$20003,'7. D.Kiến thu, chi PABT'!$G20,'9. Thu, chi PABT'!$M$11:$M$20003,'7. D.Kiến thu, chi PABT'!$H20,'9. Thu, chi PABT'!$B$11:$B$20003,'7. D.Kiến thu, chi PABT'!$C20,'9. Thu, chi PABT'!$F$11:$F$20003,"",'9. Thu, chi PABT'!$R$11:$R$20003,"&lt;"&amp;'7. D.Kiến thu, chi PABT'!$B20)</f>
        <v>1300000000</v>
      </c>
      <c r="L20" s="98">
        <f>SUMIFS('5. DS hộ thu hồi PABT'!$H$10:$H$20000,'5. DS hộ thu hồi PABT'!$D$10:$D$20000,'7. D.Kiến thu, chi PABT'!$E20,'5. DS hộ thu hồi PABT'!$E$10:$E$20000,'7. D.Kiến thu, chi PABT'!$F20,'5. DS hộ thu hồi PABT'!$F$10:$F$20000,'7. D.Kiến thu, chi PABT'!$G20,'5. DS hộ thu hồi PABT'!$G$10:$G$20000,'7. D.Kiến thu, chi PABT'!$H20,'5. DS hộ thu hồi PABT'!$L$10:$L$20000,"Thu hồi",'5. DS hộ thu hồi PABT'!$B$10:$B$20000,'7. D.Kiến thu, chi PABT'!$B20,'5. DS hộ thu hồi PABT'!$C$10:$C$20000,'7. D.Kiến thu, chi PABT'!$C20)</f>
        <v>0</v>
      </c>
      <c r="M20" s="98">
        <f>SUMIFS('5. DS hộ thu hồi PABT'!$I$10:$I$20002,'5. DS hộ thu hồi PABT'!$D$10:$D$20002,'7. D.Kiến thu, chi PABT'!$E20,'5. DS hộ thu hồi PABT'!$E$10:$E$20002,'7. D.Kiến thu, chi PABT'!$F20,'5. DS hộ thu hồi PABT'!$F$10:$F$20002,'7. D.Kiến thu, chi PABT'!$G20,'5. DS hộ thu hồi PABT'!$G$10:$G$20002,'7. D.Kiến thu, chi PABT'!$H20,'5. DS hộ thu hồi PABT'!$C$10:$C$20002,'7. D.Kiến thu, chi PABT'!$C20,'5. DS hộ thu hồi PABT'!$B$10:$B$20002,'7. D.Kiến thu, chi PABT'!$B20,'5. DS hộ thu hồi PABT'!$L$10:$L$20002,"Thu hồi")</f>
        <v>0</v>
      </c>
      <c r="N20" s="125">
        <f t="shared" si="0"/>
        <v>800000000</v>
      </c>
      <c r="O20" s="133">
        <v>800000000</v>
      </c>
      <c r="P20" s="98">
        <f>SUMIFS('9. Thu, chi PABT'!$T$11:$T$20001,'9. Thu, chi PABT'!$J$11:$J$20001,'7. D.Kiến thu, chi PABT'!$E20,'9. Thu, chi PABT'!$K$11:$K$20001,'7. D.Kiến thu, chi PABT'!$F20,'9. Thu, chi PABT'!$L$11:$L$20001,'7. D.Kiến thu, chi PABT'!$G20,'9. Thu, chi PABT'!$M$11:$M$20001,'7. D.Kiến thu, chi PABT'!$H20,'9. Thu, chi PABT'!$B$11:$B$20001,'7. D.Kiến thu, chi PABT'!$C20,'9. Thu, chi PABT'!$F$11:$F$20001,"",'9. Thu, chi PABT'!$D$11:$D$20001,IF('7. D.Kiến thu, chi PABT'!$D20="","",$D20),'9. Thu, chi PABT'!$R$11:$R$20001,"="&amp;'7. D.Kiến thu, chi PABT'!$B20)</f>
        <v>800000000</v>
      </c>
      <c r="Q20" s="98">
        <f>SUMIFS('9. Thu, chi PABT'!$U$11:$U$20003,'9. Thu, chi PABT'!$J$11:$J$20003,'7. D.Kiến thu, chi PABT'!$E20,'9. Thu, chi PABT'!$K$11:$K$20003,'7. D.Kiến thu, chi PABT'!$F20,'9. Thu, chi PABT'!$L$11:$L$20003,'7. D.Kiến thu, chi PABT'!$G20,'9. Thu, chi PABT'!$M$11:$M$20003,'7. D.Kiến thu, chi PABT'!$H20,'9. Thu, chi PABT'!$B$11:$B$20003,'7. D.Kiến thu, chi PABT'!$C20,'9. Thu, chi PABT'!$R$11:$R$20003,"="&amp;'7. D.Kiến thu, chi PABT'!$B20)</f>
        <v>0</v>
      </c>
      <c r="R20" s="41">
        <f t="shared" si="1"/>
        <v>0</v>
      </c>
    </row>
    <row r="21" spans="1:18" ht="17.45" customHeight="1" x14ac:dyDescent="0.25">
      <c r="A21" s="7">
        <v>12</v>
      </c>
      <c r="B21" s="67">
        <v>45418</v>
      </c>
      <c r="C21" s="8">
        <v>140</v>
      </c>
      <c r="D21" s="8"/>
      <c r="E21" s="8" t="s">
        <v>110</v>
      </c>
      <c r="F21" s="8" t="s">
        <v>152</v>
      </c>
      <c r="G21" s="8" t="s">
        <v>112</v>
      </c>
      <c r="H21" s="97" t="s">
        <v>114</v>
      </c>
      <c r="I21" s="132">
        <f>SUMIFS('4. C.Tiết P.Án B.Thường'!$N$11:$N$19956,'4. C.Tiết P.Án B.Thường'!$J$11:$J$19956,'7. D.Kiến thu, chi PABT'!$E21,'4. C.Tiết P.Án B.Thường'!$K$11:$K$19956,'7. D.Kiến thu, chi PABT'!$F21,'4. C.Tiết P.Án B.Thường'!$L$11:$L$19956,'7. D.Kiến thu, chi PABT'!$G21,'4. C.Tiết P.Án B.Thường'!$M$11:$M$19956,'7. D.Kiến thu, chi PABT'!$H21,'4. C.Tiết P.Án B.Thường'!$B$11:$B$19956,'7. D.Kiến thu, chi PABT'!$C21,'4. C.Tiết P.Án B.Thường'!$B$11:$B$19956,"&lt;&gt;"&amp;"Tạm ứng",'4. C.Tiết P.Án B.Thường'!$D$11:$D$19956,"",'4. C.Tiết P.Án B.Thường'!$C$11:$C$19956,"&lt;="&amp;'7. D.Kiến thu, chi PABT'!$B21)+SUMIFS('4. C.Tiết P.Án B.Thường'!$N$11:$N$19956,'4. C.Tiết P.Án B.Thường'!$J$11:$J$19956,'7. D.Kiến thu, chi PABT'!$E21,'4. C.Tiết P.Án B.Thường'!$K$11:$K$19956,'7. D.Kiến thu, chi PABT'!$F21,'4. C.Tiết P.Án B.Thường'!$L$11:$L$19956,'7. D.Kiến thu, chi PABT'!$G21,'4. C.Tiết P.Án B.Thường'!$M$11:$M$19956,'7. D.Kiến thu, chi PABT'!$H21,'4. C.Tiết P.Án B.Thường'!$B$11:$B$19956,'7. D.Kiến thu, chi PABT'!$C21,'4. C.Tiết P.Án B.Thường'!$D$11:$D$19956,"&lt;&gt;"&amp;"",'4. C.Tiết P.Án B.Thường'!$D$11:$D$19956,"&lt;&gt;"&amp;"Tạm ứng",'4. C.Tiết P.Án B.Thường'!$E$11:$E$19956,"&lt;="&amp;'7. D.Kiến thu, chi PABT'!$B21)</f>
        <v>1000000000</v>
      </c>
      <c r="J21" s="98">
        <f>SUMIFS('9. Thu, chi PABT'!$T$11:$T$20001,'9. Thu, chi PABT'!$J$11:$J$20001,'7. D.Kiến thu, chi PABT'!$E21,'9. Thu, chi PABT'!$K$11:$K$20001,'7. D.Kiến thu, chi PABT'!$F21,'9. Thu, chi PABT'!$L$11:$L$20001,'7. D.Kiến thu, chi PABT'!$G21,'9. Thu, chi PABT'!$M$11:$M$20001,'7. D.Kiến thu, chi PABT'!$H21,'9. Thu, chi PABT'!$B$11:$B$20001,'7. D.Kiến thu, chi PABT'!$C21,'9. Thu, chi PABT'!$B$11:$B$20001,"Tạm ứng",'9. Thu, chi PABT'!$R$11:$R$20001,"&lt;"&amp;'7. D.Kiến thu, chi PABT'!$B21)+SUMIFS('9. Thu, chi PABT'!$T$11:$T$20001,'9. Thu, chi PABT'!$J$11:$J$20001,'7. D.Kiến thu, chi PABT'!$E21,'9. Thu, chi PABT'!$K$11:$K$20001,'7. D.Kiến thu, chi PABT'!$F21,'9. Thu, chi PABT'!$L$11:$L$20001,'7. D.Kiến thu, chi PABT'!$G21,'9. Thu, chi PABT'!$M$11:$M$20001,'7. D.Kiến thu, chi PABT'!$H21,'9. Thu, chi PABT'!$B$11:$B$20001,'7. D.Kiến thu, chi PABT'!$C21,'9. Thu, chi PABT'!$D$11:$D$20001,"Tạm ứng",'9. Thu, chi PABT'!$R$11:$R$20001,"&lt;"&amp;'7. D.Kiến thu, chi PABT'!$B21)</f>
        <v>0</v>
      </c>
      <c r="K21" s="98">
        <f>SUMIFS('9. Thu, chi PABT'!$T$11:$T$20001,'9. Thu, chi PABT'!$J$11:$J$20001,'7. D.Kiến thu, chi PABT'!$E21,'9. Thu, chi PABT'!$K$11:$K$20001,'7. D.Kiến thu, chi PABT'!$F21,'9. Thu, chi PABT'!$L$11:$L$20001,'7. D.Kiến thu, chi PABT'!$G21,'9. Thu, chi PABT'!$M$11:$M$20001,'7. D.Kiến thu, chi PABT'!$H21,'9. Thu, chi PABT'!$B$11:$B$20001,'7. D.Kiến thu, chi PABT'!$C21,'9. Thu, chi PABT'!$B$11:$B$20001,"&lt;&gt;"&amp;"Tạm ứng",'9. Thu, chi PABT'!$D$11:$D$20001,"&lt;&gt;"&amp;"Tạm ứng",'9. Thu, chi PABT'!$F$11:$F$20001,"",'9. Thu, chi PABT'!$R$11:$R$20001,"&lt;"&amp;'7. D.Kiến thu, chi PABT'!$B21)-SUMIFS('9. Thu, chi PABT'!$U$11:$U$20003,'9. Thu, chi PABT'!$J$11:$J$20003,'7. D.Kiến thu, chi PABT'!$E21,'9. Thu, chi PABT'!$K$11:$K$20003,'7. D.Kiến thu, chi PABT'!$F21,'9. Thu, chi PABT'!$L$11:$L$20003,'7. D.Kiến thu, chi PABT'!$G21,'9. Thu, chi PABT'!$M$11:$M$20003,'7. D.Kiến thu, chi PABT'!$H21,'9. Thu, chi PABT'!$B$11:$B$20003,'7. D.Kiến thu, chi PABT'!$C21,'9. Thu, chi PABT'!$F$11:$F$20003,"",'9. Thu, chi PABT'!$R$11:$R$20003,"&lt;"&amp;'7. D.Kiến thu, chi PABT'!$B21)</f>
        <v>0</v>
      </c>
      <c r="L21" s="98">
        <f>SUMIFS('5. DS hộ thu hồi PABT'!$H$10:$H$20000,'5. DS hộ thu hồi PABT'!$D$10:$D$20000,'7. D.Kiến thu, chi PABT'!$E21,'5. DS hộ thu hồi PABT'!$E$10:$E$20000,'7. D.Kiến thu, chi PABT'!$F21,'5. DS hộ thu hồi PABT'!$F$10:$F$20000,'7. D.Kiến thu, chi PABT'!$G21,'5. DS hộ thu hồi PABT'!$G$10:$G$20000,'7. D.Kiến thu, chi PABT'!$H21,'5. DS hộ thu hồi PABT'!$L$10:$L$20000,"Thu hồi",'5. DS hộ thu hồi PABT'!$B$10:$B$20000,'7. D.Kiến thu, chi PABT'!$B21,'5. DS hộ thu hồi PABT'!$C$10:$C$20000,'7. D.Kiến thu, chi PABT'!$C21)</f>
        <v>0</v>
      </c>
      <c r="M21" s="98">
        <f>SUMIFS('5. DS hộ thu hồi PABT'!$I$10:$I$20002,'5. DS hộ thu hồi PABT'!$D$10:$D$20002,'7. D.Kiến thu, chi PABT'!$E21,'5. DS hộ thu hồi PABT'!$E$10:$E$20002,'7. D.Kiến thu, chi PABT'!$F21,'5. DS hộ thu hồi PABT'!$F$10:$F$20002,'7. D.Kiến thu, chi PABT'!$G21,'5. DS hộ thu hồi PABT'!$G$10:$G$20002,'7. D.Kiến thu, chi PABT'!$H21,'5. DS hộ thu hồi PABT'!$C$10:$C$20002,'7. D.Kiến thu, chi PABT'!$C21,'5. DS hộ thu hồi PABT'!$B$10:$B$20002,'7. D.Kiến thu, chi PABT'!$B21,'5. DS hộ thu hồi PABT'!$L$10:$L$20002,"Thu hồi")</f>
        <v>0</v>
      </c>
      <c r="N21" s="125">
        <f t="shared" si="0"/>
        <v>1000000000</v>
      </c>
      <c r="O21" s="133">
        <v>1000000000</v>
      </c>
      <c r="P21" s="98">
        <f>SUMIFS('9. Thu, chi PABT'!$T$11:$T$20001,'9. Thu, chi PABT'!$J$11:$J$20001,'7. D.Kiến thu, chi PABT'!$E21,'9. Thu, chi PABT'!$K$11:$K$20001,'7. D.Kiến thu, chi PABT'!$F21,'9. Thu, chi PABT'!$L$11:$L$20001,'7. D.Kiến thu, chi PABT'!$G21,'9. Thu, chi PABT'!$M$11:$M$20001,'7. D.Kiến thu, chi PABT'!$H21,'9. Thu, chi PABT'!$B$11:$B$20001,'7. D.Kiến thu, chi PABT'!$C21,'9. Thu, chi PABT'!$F$11:$F$20001,"",'9. Thu, chi PABT'!$D$11:$D$20001,IF('7. D.Kiến thu, chi PABT'!$D21="","",$D21),'9. Thu, chi PABT'!$R$11:$R$20001,"="&amp;'7. D.Kiến thu, chi PABT'!$B21)</f>
        <v>1000000000</v>
      </c>
      <c r="Q21" s="98">
        <f>SUMIFS('9. Thu, chi PABT'!$U$11:$U$20003,'9. Thu, chi PABT'!$J$11:$J$20003,'7. D.Kiến thu, chi PABT'!$E21,'9. Thu, chi PABT'!$K$11:$K$20003,'7. D.Kiến thu, chi PABT'!$F21,'9. Thu, chi PABT'!$L$11:$L$20003,'7. D.Kiến thu, chi PABT'!$G21,'9. Thu, chi PABT'!$M$11:$M$20003,'7. D.Kiến thu, chi PABT'!$H21,'9. Thu, chi PABT'!$B$11:$B$20003,'7. D.Kiến thu, chi PABT'!$C21,'9. Thu, chi PABT'!$R$11:$R$20003,"="&amp;'7. D.Kiến thu, chi PABT'!$B21)</f>
        <v>0</v>
      </c>
      <c r="R21" s="41">
        <f t="shared" si="1"/>
        <v>0</v>
      </c>
    </row>
    <row r="22" spans="1:18" x14ac:dyDescent="0.25">
      <c r="A22" s="7">
        <v>13</v>
      </c>
      <c r="B22" s="67">
        <v>45428</v>
      </c>
      <c r="C22" s="8">
        <v>140</v>
      </c>
      <c r="D22" s="8">
        <v>141</v>
      </c>
      <c r="E22" s="8" t="s">
        <v>110</v>
      </c>
      <c r="F22" s="8" t="s">
        <v>152</v>
      </c>
      <c r="G22" s="8" t="s">
        <v>112</v>
      </c>
      <c r="H22" s="97" t="s">
        <v>114</v>
      </c>
      <c r="I22" s="132">
        <f>SUMIFS('4. C.Tiết P.Án B.Thường'!$N$11:$N$19956,'4. C.Tiết P.Án B.Thường'!$J$11:$J$19956,'7. D.Kiến thu, chi PABT'!$E22,'4. C.Tiết P.Án B.Thường'!$K$11:$K$19956,'7. D.Kiến thu, chi PABT'!$F22,'4. C.Tiết P.Án B.Thường'!$L$11:$L$19956,'7. D.Kiến thu, chi PABT'!$G22,'4. C.Tiết P.Án B.Thường'!$M$11:$M$19956,'7. D.Kiến thu, chi PABT'!$H22,'4. C.Tiết P.Án B.Thường'!$B$11:$B$19956,'7. D.Kiến thu, chi PABT'!$C22,'4. C.Tiết P.Án B.Thường'!$B$11:$B$19956,"&lt;&gt;"&amp;"Tạm ứng",'4. C.Tiết P.Án B.Thường'!$D$11:$D$19956,"",'4. C.Tiết P.Án B.Thường'!$C$11:$C$19956,"&lt;="&amp;'7. D.Kiến thu, chi PABT'!$B22)+SUMIFS('4. C.Tiết P.Án B.Thường'!$N$11:$N$19956,'4. C.Tiết P.Án B.Thường'!$J$11:$J$19956,'7. D.Kiến thu, chi PABT'!$E22,'4. C.Tiết P.Án B.Thường'!$K$11:$K$19956,'7. D.Kiến thu, chi PABT'!$F22,'4. C.Tiết P.Án B.Thường'!$L$11:$L$19956,'7. D.Kiến thu, chi PABT'!$G22,'4. C.Tiết P.Án B.Thường'!$M$11:$M$19956,'7. D.Kiến thu, chi PABT'!$H22,'4. C.Tiết P.Án B.Thường'!$B$11:$B$19956,'7. D.Kiến thu, chi PABT'!$C22,'4. C.Tiết P.Án B.Thường'!$D$11:$D$19956,"&lt;&gt;"&amp;"",'4. C.Tiết P.Án B.Thường'!$D$11:$D$19956,"&lt;&gt;"&amp;"Tạm ứng",'4. C.Tiết P.Án B.Thường'!$E$11:$E$19956,"&lt;="&amp;'7. D.Kiến thu, chi PABT'!$B22)</f>
        <v>900000000</v>
      </c>
      <c r="J22" s="98">
        <f>SUMIFS('9. Thu, chi PABT'!$T$11:$T$20001,'9. Thu, chi PABT'!$J$11:$J$20001,'7. D.Kiến thu, chi PABT'!$E22,'9. Thu, chi PABT'!$K$11:$K$20001,'7. D.Kiến thu, chi PABT'!$F22,'9. Thu, chi PABT'!$L$11:$L$20001,'7. D.Kiến thu, chi PABT'!$G22,'9. Thu, chi PABT'!$M$11:$M$20001,'7. D.Kiến thu, chi PABT'!$H22,'9. Thu, chi PABT'!$B$11:$B$20001,'7. D.Kiến thu, chi PABT'!$C22,'9. Thu, chi PABT'!$B$11:$B$20001,"Tạm ứng",'9. Thu, chi PABT'!$R$11:$R$20001,"&lt;"&amp;'7. D.Kiến thu, chi PABT'!$B22)+SUMIFS('9. Thu, chi PABT'!$T$11:$T$20001,'9. Thu, chi PABT'!$J$11:$J$20001,'7. D.Kiến thu, chi PABT'!$E22,'9. Thu, chi PABT'!$K$11:$K$20001,'7. D.Kiến thu, chi PABT'!$F22,'9. Thu, chi PABT'!$L$11:$L$20001,'7. D.Kiến thu, chi PABT'!$G22,'9. Thu, chi PABT'!$M$11:$M$20001,'7. D.Kiến thu, chi PABT'!$H22,'9. Thu, chi PABT'!$B$11:$B$20001,'7. D.Kiến thu, chi PABT'!$C22,'9. Thu, chi PABT'!$D$11:$D$20001,"Tạm ứng",'9. Thu, chi PABT'!$R$11:$R$20001,"&lt;"&amp;'7. D.Kiến thu, chi PABT'!$B22)</f>
        <v>0</v>
      </c>
      <c r="K22" s="98">
        <f>SUMIFS('9. Thu, chi PABT'!$T$11:$T$20001,'9. Thu, chi PABT'!$J$11:$J$20001,'7. D.Kiến thu, chi PABT'!$E22,'9. Thu, chi PABT'!$K$11:$K$20001,'7. D.Kiến thu, chi PABT'!$F22,'9. Thu, chi PABT'!$L$11:$L$20001,'7. D.Kiến thu, chi PABT'!$G22,'9. Thu, chi PABT'!$M$11:$M$20001,'7. D.Kiến thu, chi PABT'!$H22,'9. Thu, chi PABT'!$B$11:$B$20001,'7. D.Kiến thu, chi PABT'!$C22,'9. Thu, chi PABT'!$B$11:$B$20001,"&lt;&gt;"&amp;"Tạm ứng",'9. Thu, chi PABT'!$D$11:$D$20001,"&lt;&gt;"&amp;"Tạm ứng",'9. Thu, chi PABT'!$F$11:$F$20001,"",'9. Thu, chi PABT'!$R$11:$R$20001,"&lt;"&amp;'7. D.Kiến thu, chi PABT'!$B22)-SUMIFS('9. Thu, chi PABT'!$U$11:$U$20003,'9. Thu, chi PABT'!$J$11:$J$20003,'7. D.Kiến thu, chi PABT'!$E22,'9. Thu, chi PABT'!$K$11:$K$20003,'7. D.Kiến thu, chi PABT'!$F22,'9. Thu, chi PABT'!$L$11:$L$20003,'7. D.Kiến thu, chi PABT'!$G22,'9. Thu, chi PABT'!$M$11:$M$20003,'7. D.Kiến thu, chi PABT'!$H22,'9. Thu, chi PABT'!$B$11:$B$20003,'7. D.Kiến thu, chi PABT'!$C22,'9. Thu, chi PABT'!$F$11:$F$20003,"",'9. Thu, chi PABT'!$R$11:$R$20003,"&lt;"&amp;'7. D.Kiến thu, chi PABT'!$B22)</f>
        <v>1000000000</v>
      </c>
      <c r="L22" s="98">
        <f>SUMIFS('5. DS hộ thu hồi PABT'!$H$10:$H$20000,'5. DS hộ thu hồi PABT'!$D$10:$D$20000,'7. D.Kiến thu, chi PABT'!$E22,'5. DS hộ thu hồi PABT'!$E$10:$E$20000,'7. D.Kiến thu, chi PABT'!$F22,'5. DS hộ thu hồi PABT'!$F$10:$F$20000,'7. D.Kiến thu, chi PABT'!$G22,'5. DS hộ thu hồi PABT'!$G$10:$G$20000,'7. D.Kiến thu, chi PABT'!$H22,'5. DS hộ thu hồi PABT'!$L$10:$L$20000,"Thu hồi",'5. DS hộ thu hồi PABT'!$B$10:$B$20000,'7. D.Kiến thu, chi PABT'!$B22,'5. DS hộ thu hồi PABT'!$C$10:$C$20000,'7. D.Kiến thu, chi PABT'!$C22)</f>
        <v>-100000000</v>
      </c>
      <c r="M22" s="98">
        <f>SUMIFS('5. DS hộ thu hồi PABT'!$I$10:$I$20002,'5. DS hộ thu hồi PABT'!$D$10:$D$20002,'7. D.Kiến thu, chi PABT'!$E22,'5. DS hộ thu hồi PABT'!$E$10:$E$20002,'7. D.Kiến thu, chi PABT'!$F22,'5. DS hộ thu hồi PABT'!$F$10:$F$20002,'7. D.Kiến thu, chi PABT'!$G22,'5. DS hộ thu hồi PABT'!$G$10:$G$20002,'7. D.Kiến thu, chi PABT'!$H22,'5. DS hộ thu hồi PABT'!$C$10:$C$20002,'7. D.Kiến thu, chi PABT'!$C22,'5. DS hộ thu hồi PABT'!$B$10:$B$20002,'7. D.Kiến thu, chi PABT'!$B22,'5. DS hộ thu hồi PABT'!$L$10:$L$20002,"Thu hồi")</f>
        <v>40000000</v>
      </c>
      <c r="N22" s="125">
        <f t="shared" si="0"/>
        <v>-60000000</v>
      </c>
      <c r="O22" s="103">
        <v>0</v>
      </c>
      <c r="P22" s="98">
        <f>SUMIFS('9. Thu, chi PABT'!$T$11:$T$20001,'9. Thu, chi PABT'!$J$11:$J$20001,'7. D.Kiến thu, chi PABT'!$E22,'9. Thu, chi PABT'!$K$11:$K$20001,'7. D.Kiến thu, chi PABT'!$F22,'9. Thu, chi PABT'!$L$11:$L$20001,'7. D.Kiến thu, chi PABT'!$G22,'9. Thu, chi PABT'!$M$11:$M$20001,'7. D.Kiến thu, chi PABT'!$H22,'9. Thu, chi PABT'!$B$11:$B$20001,'7. D.Kiến thu, chi PABT'!$C22,'9. Thu, chi PABT'!$F$11:$F$20001,"",'9. Thu, chi PABT'!$D$11:$D$20001,IF('7. D.Kiến thu, chi PABT'!$D22="","",$D22),'9. Thu, chi PABT'!$R$11:$R$20001,"="&amp;'7. D.Kiến thu, chi PABT'!$B22)</f>
        <v>0</v>
      </c>
      <c r="Q22" s="98">
        <f>SUMIFS('9. Thu, chi PABT'!$U$11:$U$20003,'9. Thu, chi PABT'!$J$11:$J$20003,'7. D.Kiến thu, chi PABT'!$E22,'9. Thu, chi PABT'!$K$11:$K$20003,'7. D.Kiến thu, chi PABT'!$F22,'9. Thu, chi PABT'!$L$11:$L$20003,'7. D.Kiến thu, chi PABT'!$G22,'9. Thu, chi PABT'!$M$11:$M$20003,'7. D.Kiến thu, chi PABT'!$H22,'9. Thu, chi PABT'!$B$11:$B$20003,'7. D.Kiến thu, chi PABT'!$C22,'9. Thu, chi PABT'!$R$11:$R$20003,"="&amp;'7. D.Kiến thu, chi PABT'!$B22)</f>
        <v>30000000</v>
      </c>
      <c r="R22" s="41">
        <f t="shared" si="1"/>
        <v>-70000000</v>
      </c>
    </row>
    <row r="23" spans="1:18" x14ac:dyDescent="0.25">
      <c r="A23" s="7">
        <v>14</v>
      </c>
      <c r="B23" s="67">
        <v>45432</v>
      </c>
      <c r="C23" s="8">
        <v>140</v>
      </c>
      <c r="D23" s="8">
        <v>141</v>
      </c>
      <c r="E23" s="8" t="s">
        <v>110</v>
      </c>
      <c r="F23" s="8" t="s">
        <v>152</v>
      </c>
      <c r="G23" s="8" t="s">
        <v>112</v>
      </c>
      <c r="H23" s="97" t="s">
        <v>114</v>
      </c>
      <c r="I23" s="132">
        <f>SUMIFS('4. C.Tiết P.Án B.Thường'!$N$11:$N$19956,'4. C.Tiết P.Án B.Thường'!$J$11:$J$19956,'7. D.Kiến thu, chi PABT'!$E23,'4. C.Tiết P.Án B.Thường'!$K$11:$K$19956,'7. D.Kiến thu, chi PABT'!$F23,'4. C.Tiết P.Án B.Thường'!$L$11:$L$19956,'7. D.Kiến thu, chi PABT'!$G23,'4. C.Tiết P.Án B.Thường'!$M$11:$M$19956,'7. D.Kiến thu, chi PABT'!$H23,'4. C.Tiết P.Án B.Thường'!$B$11:$B$19956,'7. D.Kiến thu, chi PABT'!$C23,'4. C.Tiết P.Án B.Thường'!$B$11:$B$19956,"&lt;&gt;"&amp;"Tạm ứng",'4. C.Tiết P.Án B.Thường'!$D$11:$D$19956,"",'4. C.Tiết P.Án B.Thường'!$C$11:$C$19956,"&lt;="&amp;'7. D.Kiến thu, chi PABT'!$B23)+SUMIFS('4. C.Tiết P.Án B.Thường'!$N$11:$N$19956,'4. C.Tiết P.Án B.Thường'!$J$11:$J$19956,'7. D.Kiến thu, chi PABT'!$E23,'4. C.Tiết P.Án B.Thường'!$K$11:$K$19956,'7. D.Kiến thu, chi PABT'!$F23,'4. C.Tiết P.Án B.Thường'!$L$11:$L$19956,'7. D.Kiến thu, chi PABT'!$G23,'4. C.Tiết P.Án B.Thường'!$M$11:$M$19956,'7. D.Kiến thu, chi PABT'!$H23,'4. C.Tiết P.Án B.Thường'!$B$11:$B$19956,'7. D.Kiến thu, chi PABT'!$C23,'4. C.Tiết P.Án B.Thường'!$D$11:$D$19956,"&lt;&gt;"&amp;"",'4. C.Tiết P.Án B.Thường'!$D$11:$D$19956,"&lt;&gt;"&amp;"Tạm ứng",'4. C.Tiết P.Án B.Thường'!$E$11:$E$19956,"&lt;="&amp;'7. D.Kiến thu, chi PABT'!$B23)</f>
        <v>900000000</v>
      </c>
      <c r="J23" s="98">
        <f>SUMIFS('9. Thu, chi PABT'!$T$11:$T$20001,'9. Thu, chi PABT'!$J$11:$J$20001,'7. D.Kiến thu, chi PABT'!$E23,'9. Thu, chi PABT'!$K$11:$K$20001,'7. D.Kiến thu, chi PABT'!$F23,'9. Thu, chi PABT'!$L$11:$L$20001,'7. D.Kiến thu, chi PABT'!$G23,'9. Thu, chi PABT'!$M$11:$M$20001,'7. D.Kiến thu, chi PABT'!$H23,'9. Thu, chi PABT'!$B$11:$B$20001,'7. D.Kiến thu, chi PABT'!$C23,'9. Thu, chi PABT'!$B$11:$B$20001,"Tạm ứng",'9. Thu, chi PABT'!$R$11:$R$20001,"&lt;"&amp;'7. D.Kiến thu, chi PABT'!$B23)+SUMIFS('9. Thu, chi PABT'!$T$11:$T$20001,'9. Thu, chi PABT'!$J$11:$J$20001,'7. D.Kiến thu, chi PABT'!$E23,'9. Thu, chi PABT'!$K$11:$K$20001,'7. D.Kiến thu, chi PABT'!$F23,'9. Thu, chi PABT'!$L$11:$L$20001,'7. D.Kiến thu, chi PABT'!$G23,'9. Thu, chi PABT'!$M$11:$M$20001,'7. D.Kiến thu, chi PABT'!$H23,'9. Thu, chi PABT'!$B$11:$B$20001,'7. D.Kiến thu, chi PABT'!$C23,'9. Thu, chi PABT'!$D$11:$D$20001,"Tạm ứng",'9. Thu, chi PABT'!$R$11:$R$20001,"&lt;"&amp;'7. D.Kiến thu, chi PABT'!$B23)</f>
        <v>0</v>
      </c>
      <c r="K23" s="98">
        <f>SUMIFS('9. Thu, chi PABT'!$T$11:$T$20001,'9. Thu, chi PABT'!$J$11:$J$20001,'7. D.Kiến thu, chi PABT'!$E23,'9. Thu, chi PABT'!$K$11:$K$20001,'7. D.Kiến thu, chi PABT'!$F23,'9. Thu, chi PABT'!$L$11:$L$20001,'7. D.Kiến thu, chi PABT'!$G23,'9. Thu, chi PABT'!$M$11:$M$20001,'7. D.Kiến thu, chi PABT'!$H23,'9. Thu, chi PABT'!$B$11:$B$20001,'7. D.Kiến thu, chi PABT'!$C23,'9. Thu, chi PABT'!$B$11:$B$20001,"&lt;&gt;"&amp;"Tạm ứng",'9. Thu, chi PABT'!$D$11:$D$20001,"&lt;&gt;"&amp;"Tạm ứng",'9. Thu, chi PABT'!$F$11:$F$20001,"",'9. Thu, chi PABT'!$R$11:$R$20001,"&lt;"&amp;'7. D.Kiến thu, chi PABT'!$B23)-SUMIFS('9. Thu, chi PABT'!$U$11:$U$20003,'9. Thu, chi PABT'!$J$11:$J$20003,'7. D.Kiến thu, chi PABT'!$E23,'9. Thu, chi PABT'!$K$11:$K$20003,'7. D.Kiến thu, chi PABT'!$F23,'9. Thu, chi PABT'!$L$11:$L$20003,'7. D.Kiến thu, chi PABT'!$G23,'9. Thu, chi PABT'!$M$11:$M$20003,'7. D.Kiến thu, chi PABT'!$H23,'9. Thu, chi PABT'!$B$11:$B$20003,'7. D.Kiến thu, chi PABT'!$C23,'9. Thu, chi PABT'!$F$11:$F$20003,"",'9. Thu, chi PABT'!$R$11:$R$20003,"&lt;"&amp;'7. D.Kiến thu, chi PABT'!$B23)</f>
        <v>970000000</v>
      </c>
      <c r="L23" s="98">
        <f>SUMIFS('5. DS hộ thu hồi PABT'!$H$10:$H$20000,'5. DS hộ thu hồi PABT'!$D$10:$D$20000,'7. D.Kiến thu, chi PABT'!$E23,'5. DS hộ thu hồi PABT'!$E$10:$E$20000,'7. D.Kiến thu, chi PABT'!$F23,'5. DS hộ thu hồi PABT'!$F$10:$F$20000,'7. D.Kiến thu, chi PABT'!$G23,'5. DS hộ thu hồi PABT'!$G$10:$G$20000,'7. D.Kiến thu, chi PABT'!$H23,'5. DS hộ thu hồi PABT'!$L$10:$L$20000,"Thu hồi",'5. DS hộ thu hồi PABT'!$B$10:$B$20000,'7. D.Kiến thu, chi PABT'!$B23,'5. DS hộ thu hồi PABT'!$C$10:$C$20000,'7. D.Kiến thu, chi PABT'!$C23)</f>
        <v>-70000000</v>
      </c>
      <c r="M23" s="98">
        <f>SUMIFS('5. DS hộ thu hồi PABT'!$I$10:$I$20002,'5. DS hộ thu hồi PABT'!$D$10:$D$20002,'7. D.Kiến thu, chi PABT'!$E23,'5. DS hộ thu hồi PABT'!$E$10:$E$20002,'7. D.Kiến thu, chi PABT'!$F23,'5. DS hộ thu hồi PABT'!$F$10:$F$20002,'7. D.Kiến thu, chi PABT'!$G23,'5. DS hộ thu hồi PABT'!$G$10:$G$20002,'7. D.Kiến thu, chi PABT'!$H23,'5. DS hộ thu hồi PABT'!$C$10:$C$20002,'7. D.Kiến thu, chi PABT'!$C23,'5. DS hộ thu hồi PABT'!$B$10:$B$20002,'7. D.Kiến thu, chi PABT'!$B23,'5. DS hộ thu hồi PABT'!$L$10:$L$20002,"Thu hồi")</f>
        <v>70000000</v>
      </c>
      <c r="N23" s="125">
        <f t="shared" si="0"/>
        <v>0</v>
      </c>
      <c r="O23" s="103">
        <v>0</v>
      </c>
      <c r="P23" s="98">
        <f>SUMIFS('9. Thu, chi PABT'!$T$11:$T$20001,'9. Thu, chi PABT'!$J$11:$J$20001,'7. D.Kiến thu, chi PABT'!$E23,'9. Thu, chi PABT'!$K$11:$K$20001,'7. D.Kiến thu, chi PABT'!$F23,'9. Thu, chi PABT'!$L$11:$L$20001,'7. D.Kiến thu, chi PABT'!$G23,'9. Thu, chi PABT'!$M$11:$M$20001,'7. D.Kiến thu, chi PABT'!$H23,'9. Thu, chi PABT'!$B$11:$B$20001,'7. D.Kiến thu, chi PABT'!$C23,'9. Thu, chi PABT'!$F$11:$F$20001,"",'9. Thu, chi PABT'!$D$11:$D$20001,IF('7. D.Kiến thu, chi PABT'!$D23="","",$D23),'9. Thu, chi PABT'!$R$11:$R$20001,"="&amp;'7. D.Kiến thu, chi PABT'!$B23)</f>
        <v>0</v>
      </c>
      <c r="Q23" s="98">
        <f>SUMIFS('9. Thu, chi PABT'!$U$11:$U$20003,'9. Thu, chi PABT'!$J$11:$J$20003,'7. D.Kiến thu, chi PABT'!$E23,'9. Thu, chi PABT'!$K$11:$K$20003,'7. D.Kiến thu, chi PABT'!$F23,'9. Thu, chi PABT'!$L$11:$L$20003,'7. D.Kiến thu, chi PABT'!$G23,'9. Thu, chi PABT'!$M$11:$M$20003,'7. D.Kiến thu, chi PABT'!$H23,'9. Thu, chi PABT'!$B$11:$B$20003,'7. D.Kiến thu, chi PABT'!$C23,'9. Thu, chi PABT'!$R$11:$R$20003,"="&amp;'7. D.Kiến thu, chi PABT'!$B23)</f>
        <v>70000000</v>
      </c>
      <c r="R23" s="41">
        <f t="shared" si="1"/>
        <v>0</v>
      </c>
    </row>
    <row r="24" spans="1:18" x14ac:dyDescent="0.25">
      <c r="A24" s="7">
        <v>16</v>
      </c>
      <c r="B24" s="67">
        <v>45536</v>
      </c>
      <c r="C24" s="8">
        <v>140</v>
      </c>
      <c r="D24" s="8"/>
      <c r="E24" s="8" t="s">
        <v>110</v>
      </c>
      <c r="F24" s="8" t="s">
        <v>152</v>
      </c>
      <c r="G24" s="8" t="s">
        <v>112</v>
      </c>
      <c r="H24" s="97" t="s">
        <v>114</v>
      </c>
      <c r="I24" s="132">
        <f>SUMIFS('4. C.Tiết P.Án B.Thường'!$N$11:$N$19956,'4. C.Tiết P.Án B.Thường'!$J$11:$J$19956,'7. D.Kiến thu, chi PABT'!$E24,'4. C.Tiết P.Án B.Thường'!$K$11:$K$19956,'7. D.Kiến thu, chi PABT'!$F24,'4. C.Tiết P.Án B.Thường'!$L$11:$L$19956,'7. D.Kiến thu, chi PABT'!$G24,'4. C.Tiết P.Án B.Thường'!$M$11:$M$19956,'7. D.Kiến thu, chi PABT'!$H24,'4. C.Tiết P.Án B.Thường'!$B$11:$B$19956,'7. D.Kiến thu, chi PABT'!$C24,'4. C.Tiết P.Án B.Thường'!$B$11:$B$19956,"&lt;&gt;"&amp;"Tạm ứng",'4. C.Tiết P.Án B.Thường'!$D$11:$D$19956,"",'4. C.Tiết P.Án B.Thường'!$C$11:$C$19956,"&lt;="&amp;'7. D.Kiến thu, chi PABT'!$B24)+SUMIFS('4. C.Tiết P.Án B.Thường'!$N$11:$N$19956,'4. C.Tiết P.Án B.Thường'!$J$11:$J$19956,'7. D.Kiến thu, chi PABT'!$E24,'4. C.Tiết P.Án B.Thường'!$K$11:$K$19956,'7. D.Kiến thu, chi PABT'!$F24,'4. C.Tiết P.Án B.Thường'!$L$11:$L$19956,'7. D.Kiến thu, chi PABT'!$G24,'4. C.Tiết P.Án B.Thường'!$M$11:$M$19956,'7. D.Kiến thu, chi PABT'!$H24,'4. C.Tiết P.Án B.Thường'!$B$11:$B$19956,'7. D.Kiến thu, chi PABT'!$C24,'4. C.Tiết P.Án B.Thường'!$D$11:$D$19956,"&lt;&gt;"&amp;"",'4. C.Tiết P.Án B.Thường'!$D$11:$D$19956,"&lt;&gt;"&amp;"Tạm ứng",'4. C.Tiết P.Án B.Thường'!$E$11:$E$19956,"&lt;="&amp;'7. D.Kiến thu, chi PABT'!$B24)</f>
        <v>900000000</v>
      </c>
      <c r="J24" s="98">
        <f>SUMIFS('9. Thu, chi PABT'!$T$11:$T$20001,'9. Thu, chi PABT'!$J$11:$J$20001,'7. D.Kiến thu, chi PABT'!$E24,'9. Thu, chi PABT'!$K$11:$K$20001,'7. D.Kiến thu, chi PABT'!$F24,'9. Thu, chi PABT'!$L$11:$L$20001,'7. D.Kiến thu, chi PABT'!$G24,'9. Thu, chi PABT'!$M$11:$M$20001,'7. D.Kiến thu, chi PABT'!$H24,'9. Thu, chi PABT'!$B$11:$B$20001,'7. D.Kiến thu, chi PABT'!$C24,'9. Thu, chi PABT'!$B$11:$B$20001,"Tạm ứng",'9. Thu, chi PABT'!$R$11:$R$20001,"&lt;"&amp;'7. D.Kiến thu, chi PABT'!$B24)+SUMIFS('9. Thu, chi PABT'!$T$11:$T$20001,'9. Thu, chi PABT'!$J$11:$J$20001,'7. D.Kiến thu, chi PABT'!$E24,'9. Thu, chi PABT'!$K$11:$K$20001,'7. D.Kiến thu, chi PABT'!$F24,'9. Thu, chi PABT'!$L$11:$L$20001,'7. D.Kiến thu, chi PABT'!$G24,'9. Thu, chi PABT'!$M$11:$M$20001,'7. D.Kiến thu, chi PABT'!$H24,'9. Thu, chi PABT'!$B$11:$B$20001,'7. D.Kiến thu, chi PABT'!$C24,'9. Thu, chi PABT'!$D$11:$D$20001,"Tạm ứng",'9. Thu, chi PABT'!$R$11:$R$20001,"&lt;"&amp;'7. D.Kiến thu, chi PABT'!$B24)</f>
        <v>0</v>
      </c>
      <c r="K24" s="98">
        <f>SUMIFS('9. Thu, chi PABT'!$T$11:$T$20001,'9. Thu, chi PABT'!$J$11:$J$20001,'7. D.Kiến thu, chi PABT'!$E24,'9. Thu, chi PABT'!$K$11:$K$20001,'7. D.Kiến thu, chi PABT'!$F24,'9. Thu, chi PABT'!$L$11:$L$20001,'7. D.Kiến thu, chi PABT'!$G24,'9. Thu, chi PABT'!$M$11:$M$20001,'7. D.Kiến thu, chi PABT'!$H24,'9. Thu, chi PABT'!$B$11:$B$20001,'7. D.Kiến thu, chi PABT'!$C24,'9. Thu, chi PABT'!$B$11:$B$20001,"&lt;&gt;"&amp;"Tạm ứng",'9. Thu, chi PABT'!$D$11:$D$20001,"&lt;&gt;"&amp;"Tạm ứng",'9. Thu, chi PABT'!$F$11:$F$20001,"",'9. Thu, chi PABT'!$R$11:$R$20001,"&lt;"&amp;'7. D.Kiến thu, chi PABT'!$B24)-SUMIFS('9. Thu, chi PABT'!$U$11:$U$20003,'9. Thu, chi PABT'!$J$11:$J$20003,'7. D.Kiến thu, chi PABT'!$E24,'9. Thu, chi PABT'!$K$11:$K$20003,'7. D.Kiến thu, chi PABT'!$F24,'9. Thu, chi PABT'!$L$11:$L$20003,'7. D.Kiến thu, chi PABT'!$G24,'9. Thu, chi PABT'!$M$11:$M$20003,'7. D.Kiến thu, chi PABT'!$H24,'9. Thu, chi PABT'!$B$11:$B$20003,'7. D.Kiến thu, chi PABT'!$C24,'9. Thu, chi PABT'!$F$11:$F$20003,"",'9. Thu, chi PABT'!$R$11:$R$20003,"&lt;"&amp;'7. D.Kiến thu, chi PABT'!$B24)</f>
        <v>900000000</v>
      </c>
      <c r="L24" s="98">
        <f>SUMIFS('5. DS hộ thu hồi PABT'!$H$10:$H$20000,'5. DS hộ thu hồi PABT'!$D$10:$D$20000,'7. D.Kiến thu, chi PABT'!$E24,'5. DS hộ thu hồi PABT'!$E$10:$E$20000,'7. D.Kiến thu, chi PABT'!$F24,'5. DS hộ thu hồi PABT'!$F$10:$F$20000,'7. D.Kiến thu, chi PABT'!$G24,'5. DS hộ thu hồi PABT'!$G$10:$G$20000,'7. D.Kiến thu, chi PABT'!$H24,'5. DS hộ thu hồi PABT'!$L$10:$L$20000,"Thu hồi",'5. DS hộ thu hồi PABT'!$B$10:$B$20000,'7. D.Kiến thu, chi PABT'!$B24,'5. DS hộ thu hồi PABT'!$C$10:$C$20000,'7. D.Kiến thu, chi PABT'!$C24)</f>
        <v>0</v>
      </c>
      <c r="M24" s="98">
        <f>SUMIFS('5. DS hộ thu hồi PABT'!$I$10:$I$20002,'5. DS hộ thu hồi PABT'!$D$10:$D$20002,'7. D.Kiến thu, chi PABT'!$E24,'5. DS hộ thu hồi PABT'!$E$10:$E$20002,'7. D.Kiến thu, chi PABT'!$F24,'5. DS hộ thu hồi PABT'!$F$10:$F$20002,'7. D.Kiến thu, chi PABT'!$G24,'5. DS hộ thu hồi PABT'!$G$10:$G$20002,'7. D.Kiến thu, chi PABT'!$H24,'5. DS hộ thu hồi PABT'!$C$10:$C$20002,'7. D.Kiến thu, chi PABT'!$C24,'5. DS hộ thu hồi PABT'!$B$10:$B$20002,'7. D.Kiến thu, chi PABT'!$B24,'5. DS hộ thu hồi PABT'!$L$10:$L$20002,"Thu hồi")</f>
        <v>0</v>
      </c>
      <c r="N24" s="125">
        <f t="shared" si="0"/>
        <v>0</v>
      </c>
      <c r="O24" s="103"/>
      <c r="P24" s="98">
        <f>SUMIFS('9. Thu, chi PABT'!$T$11:$T$20001,'9. Thu, chi PABT'!$J$11:$J$20001,'7. D.Kiến thu, chi PABT'!$E24,'9. Thu, chi PABT'!$K$11:$K$20001,'7. D.Kiến thu, chi PABT'!$F24,'9. Thu, chi PABT'!$L$11:$L$20001,'7. D.Kiến thu, chi PABT'!$G24,'9. Thu, chi PABT'!$M$11:$M$20001,'7. D.Kiến thu, chi PABT'!$H24,'9. Thu, chi PABT'!$B$11:$B$20001,'7. D.Kiến thu, chi PABT'!$C24,'9. Thu, chi PABT'!$F$11:$F$20001,"",'9. Thu, chi PABT'!$D$11:$D$20001,IF('7. D.Kiến thu, chi PABT'!$D24="","",$D24),'9. Thu, chi PABT'!$R$11:$R$20001,"="&amp;'7. D.Kiến thu, chi PABT'!$B24)</f>
        <v>0</v>
      </c>
      <c r="Q24" s="98">
        <f>SUMIFS('9. Thu, chi PABT'!$U$11:$U$20003,'9. Thu, chi PABT'!$J$11:$J$20003,'7. D.Kiến thu, chi PABT'!$E24,'9. Thu, chi PABT'!$K$11:$K$20003,'7. D.Kiến thu, chi PABT'!$F24,'9. Thu, chi PABT'!$L$11:$L$20003,'7. D.Kiến thu, chi PABT'!$G24,'9. Thu, chi PABT'!$M$11:$M$20003,'7. D.Kiến thu, chi PABT'!$H24,'9. Thu, chi PABT'!$B$11:$B$20003,'7. D.Kiến thu, chi PABT'!$C24,'9. Thu, chi PABT'!$R$11:$R$20003,"="&amp;'7. D.Kiến thu, chi PABT'!$B24)</f>
        <v>0</v>
      </c>
      <c r="R24" s="41">
        <f t="shared" si="1"/>
        <v>0</v>
      </c>
    </row>
    <row r="25" spans="1:18" x14ac:dyDescent="0.25">
      <c r="A25" s="7">
        <v>17</v>
      </c>
      <c r="B25" s="67"/>
      <c r="C25" s="8"/>
      <c r="D25" s="8"/>
      <c r="E25" s="8"/>
      <c r="F25" s="8"/>
      <c r="G25" s="8"/>
      <c r="H25" s="97"/>
      <c r="I25" s="132">
        <f>SUMIFS('4. C.Tiết P.Án B.Thường'!$N$11:$N$19956,'4. C.Tiết P.Án B.Thường'!$J$11:$J$19956,'7. D.Kiến thu, chi PABT'!$E25,'4. C.Tiết P.Án B.Thường'!$K$11:$K$19956,'7. D.Kiến thu, chi PABT'!$F25,'4. C.Tiết P.Án B.Thường'!$L$11:$L$19956,'7. D.Kiến thu, chi PABT'!$G25,'4. C.Tiết P.Án B.Thường'!$M$11:$M$19956,'7. D.Kiến thu, chi PABT'!$H25,'4. C.Tiết P.Án B.Thường'!$B$11:$B$19956,'7. D.Kiến thu, chi PABT'!$C25,'4. C.Tiết P.Án B.Thường'!$B$11:$B$19956,"&lt;&gt;"&amp;"Tạm ứng",'4. C.Tiết P.Án B.Thường'!$D$11:$D$19956,"",'4. C.Tiết P.Án B.Thường'!$C$11:$C$19956,"&lt;="&amp;'7. D.Kiến thu, chi PABT'!$B25)+SUMIFS('4. C.Tiết P.Án B.Thường'!$N$11:$N$19956,'4. C.Tiết P.Án B.Thường'!$J$11:$J$19956,'7. D.Kiến thu, chi PABT'!$E25,'4. C.Tiết P.Án B.Thường'!$K$11:$K$19956,'7. D.Kiến thu, chi PABT'!$F25,'4. C.Tiết P.Án B.Thường'!$L$11:$L$19956,'7. D.Kiến thu, chi PABT'!$G25,'4. C.Tiết P.Án B.Thường'!$M$11:$M$19956,'7. D.Kiến thu, chi PABT'!$H25,'4. C.Tiết P.Án B.Thường'!$B$11:$B$19956,'7. D.Kiến thu, chi PABT'!$C25,'4. C.Tiết P.Án B.Thường'!$D$11:$D$19956,"&lt;&gt;"&amp;"",'4. C.Tiết P.Án B.Thường'!$D$11:$D$19956,"&lt;&gt;"&amp;"Tạm ứng",'4. C.Tiết P.Án B.Thường'!$E$11:$E$19956,"&lt;="&amp;'7. D.Kiến thu, chi PABT'!$B25)</f>
        <v>0</v>
      </c>
      <c r="J25" s="98">
        <f>SUMIFS('9. Thu, chi PABT'!$T$11:$T$20001,'9. Thu, chi PABT'!$J$11:$J$20001,'7. D.Kiến thu, chi PABT'!$E25,'9. Thu, chi PABT'!$K$11:$K$20001,'7. D.Kiến thu, chi PABT'!$F25,'9. Thu, chi PABT'!$L$11:$L$20001,'7. D.Kiến thu, chi PABT'!$G25,'9. Thu, chi PABT'!$M$11:$M$20001,'7. D.Kiến thu, chi PABT'!$H25,'9. Thu, chi PABT'!$B$11:$B$20001,'7. D.Kiến thu, chi PABT'!$C25,'9. Thu, chi PABT'!$B$11:$B$20001,"Tạm ứng",'9. Thu, chi PABT'!$R$11:$R$20001,"&lt;"&amp;'7. D.Kiến thu, chi PABT'!$B25)+SUMIFS('9. Thu, chi PABT'!$T$11:$T$20001,'9. Thu, chi PABT'!$J$11:$J$20001,'7. D.Kiến thu, chi PABT'!$E25,'9. Thu, chi PABT'!$K$11:$K$20001,'7. D.Kiến thu, chi PABT'!$F25,'9. Thu, chi PABT'!$L$11:$L$20001,'7. D.Kiến thu, chi PABT'!$G25,'9. Thu, chi PABT'!$M$11:$M$20001,'7. D.Kiến thu, chi PABT'!$H25,'9. Thu, chi PABT'!$B$11:$B$20001,'7. D.Kiến thu, chi PABT'!$C25,'9. Thu, chi PABT'!$D$11:$D$20001,"Tạm ứng",'9. Thu, chi PABT'!$R$11:$R$20001,"&lt;"&amp;'7. D.Kiến thu, chi PABT'!$B25)</f>
        <v>0</v>
      </c>
      <c r="K25" s="98">
        <f>SUMIFS('9. Thu, chi PABT'!$T$11:$T$20001,'9. Thu, chi PABT'!$J$11:$J$20001,'7. D.Kiến thu, chi PABT'!$E25,'9. Thu, chi PABT'!$K$11:$K$20001,'7. D.Kiến thu, chi PABT'!$F25,'9. Thu, chi PABT'!$L$11:$L$20001,'7. D.Kiến thu, chi PABT'!$G25,'9. Thu, chi PABT'!$M$11:$M$20001,'7. D.Kiến thu, chi PABT'!$H25,'9. Thu, chi PABT'!$B$11:$B$20001,'7. D.Kiến thu, chi PABT'!$C25,'9. Thu, chi PABT'!$B$11:$B$20001,"&lt;&gt;"&amp;"Tạm ứng",'9. Thu, chi PABT'!$D$11:$D$20001,"&lt;&gt;"&amp;"Tạm ứng",'9. Thu, chi PABT'!$F$11:$F$20001,"",'9. Thu, chi PABT'!$R$11:$R$20001,"&lt;"&amp;'7. D.Kiến thu, chi PABT'!$B25)-SUMIFS('9. Thu, chi PABT'!$U$11:$U$20003,'9. Thu, chi PABT'!$J$11:$J$20003,'7. D.Kiến thu, chi PABT'!$E25,'9. Thu, chi PABT'!$K$11:$K$20003,'7. D.Kiến thu, chi PABT'!$F25,'9. Thu, chi PABT'!$L$11:$L$20003,'7. D.Kiến thu, chi PABT'!$G25,'9. Thu, chi PABT'!$M$11:$M$20003,'7. D.Kiến thu, chi PABT'!$H25,'9. Thu, chi PABT'!$B$11:$B$20003,'7. D.Kiến thu, chi PABT'!$C25,'9. Thu, chi PABT'!$F$11:$F$20003,"",'9. Thu, chi PABT'!$R$11:$R$20003,"&lt;"&amp;'7. D.Kiến thu, chi PABT'!$B25)</f>
        <v>0</v>
      </c>
      <c r="L25" s="98">
        <f>SUMIFS('5. DS hộ thu hồi PABT'!$H$10:$H$20000,'5. DS hộ thu hồi PABT'!$D$10:$D$20000,'7. D.Kiến thu, chi PABT'!$E25,'5. DS hộ thu hồi PABT'!$E$10:$E$20000,'7. D.Kiến thu, chi PABT'!$F25,'5. DS hộ thu hồi PABT'!$F$10:$F$20000,'7. D.Kiến thu, chi PABT'!$G25,'5. DS hộ thu hồi PABT'!$G$10:$G$20000,'7. D.Kiến thu, chi PABT'!$H25,'5. DS hộ thu hồi PABT'!$L$10:$L$20000,"Thu hồi",'5. DS hộ thu hồi PABT'!$B$10:$B$20000,'7. D.Kiến thu, chi PABT'!$B25,'5. DS hộ thu hồi PABT'!$C$10:$C$20000,'7. D.Kiến thu, chi PABT'!$C25)</f>
        <v>0</v>
      </c>
      <c r="M25" s="98">
        <f>SUMIFS('5. DS hộ thu hồi PABT'!$I$10:$I$20002,'5. DS hộ thu hồi PABT'!$D$10:$D$20002,'7. D.Kiến thu, chi PABT'!$E25,'5. DS hộ thu hồi PABT'!$E$10:$E$20002,'7. D.Kiến thu, chi PABT'!$F25,'5. DS hộ thu hồi PABT'!$F$10:$F$20002,'7. D.Kiến thu, chi PABT'!$G25,'5. DS hộ thu hồi PABT'!$G$10:$G$20002,'7. D.Kiến thu, chi PABT'!$H25,'5. DS hộ thu hồi PABT'!$C$10:$C$20002,'7. D.Kiến thu, chi PABT'!$C25,'5. DS hộ thu hồi PABT'!$B$10:$B$20002,'7. D.Kiến thu, chi PABT'!$B25,'5. DS hộ thu hồi PABT'!$L$10:$L$20002,"Thu hồi")</f>
        <v>0</v>
      </c>
      <c r="N25" s="125">
        <f t="shared" si="0"/>
        <v>0</v>
      </c>
      <c r="O25" s="103"/>
      <c r="P25" s="98">
        <f>SUMIFS('9. Thu, chi PABT'!$T$11:$T$20001,'9. Thu, chi PABT'!$J$11:$J$20001,'7. D.Kiến thu, chi PABT'!$E25,'9. Thu, chi PABT'!$K$11:$K$20001,'7. D.Kiến thu, chi PABT'!$F25,'9. Thu, chi PABT'!$L$11:$L$20001,'7. D.Kiến thu, chi PABT'!$G25,'9. Thu, chi PABT'!$M$11:$M$20001,'7. D.Kiến thu, chi PABT'!$H25,'9. Thu, chi PABT'!$B$11:$B$20001,'7. D.Kiến thu, chi PABT'!$C25,'9. Thu, chi PABT'!$F$11:$F$20001,"",'9. Thu, chi PABT'!$D$11:$D$20001,IF('7. D.Kiến thu, chi PABT'!$D25="","",$D25),'9. Thu, chi PABT'!$R$11:$R$20001,"="&amp;'7. D.Kiến thu, chi PABT'!$B25)</f>
        <v>0</v>
      </c>
      <c r="Q25" s="98">
        <f>SUMIFS('9. Thu, chi PABT'!$U$11:$U$20003,'9. Thu, chi PABT'!$J$11:$J$20003,'7. D.Kiến thu, chi PABT'!$E25,'9. Thu, chi PABT'!$K$11:$K$20003,'7. D.Kiến thu, chi PABT'!$F25,'9. Thu, chi PABT'!$L$11:$L$20003,'7. D.Kiến thu, chi PABT'!$G25,'9. Thu, chi PABT'!$M$11:$M$20003,'7. D.Kiến thu, chi PABT'!$H25,'9. Thu, chi PABT'!$B$11:$B$20003,'7. D.Kiến thu, chi PABT'!$C25,'9. Thu, chi PABT'!$R$11:$R$20003,"="&amp;'7. D.Kiến thu, chi PABT'!$B25)</f>
        <v>0</v>
      </c>
      <c r="R25" s="41">
        <f t="shared" si="1"/>
        <v>0</v>
      </c>
    </row>
    <row r="26" spans="1:18" x14ac:dyDescent="0.25">
      <c r="A26" s="7">
        <v>18</v>
      </c>
      <c r="B26" s="67"/>
      <c r="C26" s="8"/>
      <c r="D26" s="8"/>
      <c r="E26" s="8"/>
      <c r="F26" s="8"/>
      <c r="G26" s="8"/>
      <c r="H26" s="97"/>
      <c r="I26" s="132">
        <f>SUMIFS('4. C.Tiết P.Án B.Thường'!$N$11:$N$19956,'4. C.Tiết P.Án B.Thường'!$J$11:$J$19956,'7. D.Kiến thu, chi PABT'!$E26,'4. C.Tiết P.Án B.Thường'!$K$11:$K$19956,'7. D.Kiến thu, chi PABT'!$F26,'4. C.Tiết P.Án B.Thường'!$L$11:$L$19956,'7. D.Kiến thu, chi PABT'!$G26,'4. C.Tiết P.Án B.Thường'!$M$11:$M$19956,'7. D.Kiến thu, chi PABT'!$H26,'4. C.Tiết P.Án B.Thường'!$B$11:$B$19956,'7. D.Kiến thu, chi PABT'!$C26,'4. C.Tiết P.Án B.Thường'!$B$11:$B$19956,"&lt;&gt;"&amp;"Tạm ứng",'4. C.Tiết P.Án B.Thường'!$D$11:$D$19956,"",'4. C.Tiết P.Án B.Thường'!$C$11:$C$19956,"&lt;="&amp;'7. D.Kiến thu, chi PABT'!$B26)+SUMIFS('4. C.Tiết P.Án B.Thường'!$N$11:$N$19956,'4. C.Tiết P.Án B.Thường'!$J$11:$J$19956,'7. D.Kiến thu, chi PABT'!$E26,'4. C.Tiết P.Án B.Thường'!$K$11:$K$19956,'7. D.Kiến thu, chi PABT'!$F26,'4. C.Tiết P.Án B.Thường'!$L$11:$L$19956,'7. D.Kiến thu, chi PABT'!$G26,'4. C.Tiết P.Án B.Thường'!$M$11:$M$19956,'7. D.Kiến thu, chi PABT'!$H26,'4. C.Tiết P.Án B.Thường'!$B$11:$B$19956,'7. D.Kiến thu, chi PABT'!$C26,'4. C.Tiết P.Án B.Thường'!$D$11:$D$19956,"&lt;&gt;"&amp;"",'4. C.Tiết P.Án B.Thường'!$D$11:$D$19956,"&lt;&gt;"&amp;"Tạm ứng",'4. C.Tiết P.Án B.Thường'!$E$11:$E$19956,"&lt;="&amp;'7. D.Kiến thu, chi PABT'!$B26)</f>
        <v>0</v>
      </c>
      <c r="J26" s="98">
        <f>SUMIFS('9. Thu, chi PABT'!$T$11:$T$20001,'9. Thu, chi PABT'!$J$11:$J$20001,'7. D.Kiến thu, chi PABT'!$E26,'9. Thu, chi PABT'!$K$11:$K$20001,'7. D.Kiến thu, chi PABT'!$F26,'9. Thu, chi PABT'!$L$11:$L$20001,'7. D.Kiến thu, chi PABT'!$G26,'9. Thu, chi PABT'!$M$11:$M$20001,'7. D.Kiến thu, chi PABT'!$H26,'9. Thu, chi PABT'!$B$11:$B$20001,'7. D.Kiến thu, chi PABT'!$C26,'9. Thu, chi PABT'!$B$11:$B$20001,"Tạm ứng",'9. Thu, chi PABT'!$R$11:$R$20001,"&lt;"&amp;'7. D.Kiến thu, chi PABT'!$B26)+SUMIFS('9. Thu, chi PABT'!$T$11:$T$20001,'9. Thu, chi PABT'!$J$11:$J$20001,'7. D.Kiến thu, chi PABT'!$E26,'9. Thu, chi PABT'!$K$11:$K$20001,'7. D.Kiến thu, chi PABT'!$F26,'9. Thu, chi PABT'!$L$11:$L$20001,'7. D.Kiến thu, chi PABT'!$G26,'9. Thu, chi PABT'!$M$11:$M$20001,'7. D.Kiến thu, chi PABT'!$H26,'9. Thu, chi PABT'!$B$11:$B$20001,'7. D.Kiến thu, chi PABT'!$C26,'9. Thu, chi PABT'!$D$11:$D$20001,"Tạm ứng",'9. Thu, chi PABT'!$R$11:$R$20001,"&lt;"&amp;'7. D.Kiến thu, chi PABT'!$B26)</f>
        <v>0</v>
      </c>
      <c r="K26" s="98">
        <f>SUMIFS('9. Thu, chi PABT'!$T$11:$T$20001,'9. Thu, chi PABT'!$J$11:$J$20001,'7. D.Kiến thu, chi PABT'!$E26,'9. Thu, chi PABT'!$K$11:$K$20001,'7. D.Kiến thu, chi PABT'!$F26,'9. Thu, chi PABT'!$L$11:$L$20001,'7. D.Kiến thu, chi PABT'!$G26,'9. Thu, chi PABT'!$M$11:$M$20001,'7. D.Kiến thu, chi PABT'!$H26,'9. Thu, chi PABT'!$B$11:$B$20001,'7. D.Kiến thu, chi PABT'!$C26,'9. Thu, chi PABT'!$B$11:$B$20001,"&lt;&gt;"&amp;"Tạm ứng",'9. Thu, chi PABT'!$D$11:$D$20001,"&lt;&gt;"&amp;"Tạm ứng",'9. Thu, chi PABT'!$F$11:$F$20001,"",'9. Thu, chi PABT'!$R$11:$R$20001,"&lt;"&amp;'7. D.Kiến thu, chi PABT'!$B26)-SUMIFS('9. Thu, chi PABT'!$U$11:$U$20003,'9. Thu, chi PABT'!$J$11:$J$20003,'7. D.Kiến thu, chi PABT'!$E26,'9. Thu, chi PABT'!$K$11:$K$20003,'7. D.Kiến thu, chi PABT'!$F26,'9. Thu, chi PABT'!$L$11:$L$20003,'7. D.Kiến thu, chi PABT'!$G26,'9. Thu, chi PABT'!$M$11:$M$20003,'7. D.Kiến thu, chi PABT'!$H26,'9. Thu, chi PABT'!$B$11:$B$20003,'7. D.Kiến thu, chi PABT'!$C26,'9. Thu, chi PABT'!$F$11:$F$20003,"",'9. Thu, chi PABT'!$R$11:$R$20003,"&lt;"&amp;'7. D.Kiến thu, chi PABT'!$B26)</f>
        <v>0</v>
      </c>
      <c r="L26" s="98">
        <f>SUMIFS('5. DS hộ thu hồi PABT'!$H$10:$H$20000,'5. DS hộ thu hồi PABT'!$D$10:$D$20000,'7. D.Kiến thu, chi PABT'!$E26,'5. DS hộ thu hồi PABT'!$E$10:$E$20000,'7. D.Kiến thu, chi PABT'!$F26,'5. DS hộ thu hồi PABT'!$F$10:$F$20000,'7. D.Kiến thu, chi PABT'!$G26,'5. DS hộ thu hồi PABT'!$G$10:$G$20000,'7. D.Kiến thu, chi PABT'!$H26,'5. DS hộ thu hồi PABT'!$L$10:$L$20000,"Thu hồi",'5. DS hộ thu hồi PABT'!$B$10:$B$20000,'7. D.Kiến thu, chi PABT'!$B26,'5. DS hộ thu hồi PABT'!$C$10:$C$20000,'7. D.Kiến thu, chi PABT'!$C26)</f>
        <v>0</v>
      </c>
      <c r="M26" s="98">
        <f>SUMIFS('5. DS hộ thu hồi PABT'!$I$10:$I$20002,'5. DS hộ thu hồi PABT'!$D$10:$D$20002,'7. D.Kiến thu, chi PABT'!$E26,'5. DS hộ thu hồi PABT'!$E$10:$E$20002,'7. D.Kiến thu, chi PABT'!$F26,'5. DS hộ thu hồi PABT'!$F$10:$F$20002,'7. D.Kiến thu, chi PABT'!$G26,'5. DS hộ thu hồi PABT'!$G$10:$G$20002,'7. D.Kiến thu, chi PABT'!$H26,'5. DS hộ thu hồi PABT'!$C$10:$C$20002,'7. D.Kiến thu, chi PABT'!$C26,'5. DS hộ thu hồi PABT'!$B$10:$B$20002,'7. D.Kiến thu, chi PABT'!$B26,'5. DS hộ thu hồi PABT'!$L$10:$L$20002,"Thu hồi")</f>
        <v>0</v>
      </c>
      <c r="N26" s="125">
        <f t="shared" si="0"/>
        <v>0</v>
      </c>
      <c r="O26" s="103"/>
      <c r="P26" s="98">
        <f>SUMIFS('9. Thu, chi PABT'!$T$11:$T$20001,'9. Thu, chi PABT'!$J$11:$J$20001,'7. D.Kiến thu, chi PABT'!$E26,'9. Thu, chi PABT'!$K$11:$K$20001,'7. D.Kiến thu, chi PABT'!$F26,'9. Thu, chi PABT'!$L$11:$L$20001,'7. D.Kiến thu, chi PABT'!$G26,'9. Thu, chi PABT'!$M$11:$M$20001,'7. D.Kiến thu, chi PABT'!$H26,'9. Thu, chi PABT'!$B$11:$B$20001,'7. D.Kiến thu, chi PABT'!$C26,'9. Thu, chi PABT'!$F$11:$F$20001,"",'9. Thu, chi PABT'!$D$11:$D$20001,IF('7. D.Kiến thu, chi PABT'!$D26="","",$D26),'9. Thu, chi PABT'!$R$11:$R$20001,"="&amp;'7. D.Kiến thu, chi PABT'!$B26)</f>
        <v>0</v>
      </c>
      <c r="Q26" s="98">
        <f>SUMIFS('9. Thu, chi PABT'!$U$11:$U$20003,'9. Thu, chi PABT'!$J$11:$J$20003,'7. D.Kiến thu, chi PABT'!$E26,'9. Thu, chi PABT'!$K$11:$K$20003,'7. D.Kiến thu, chi PABT'!$F26,'9. Thu, chi PABT'!$L$11:$L$20003,'7. D.Kiến thu, chi PABT'!$G26,'9. Thu, chi PABT'!$M$11:$M$20003,'7. D.Kiến thu, chi PABT'!$H26,'9. Thu, chi PABT'!$B$11:$B$20003,'7. D.Kiến thu, chi PABT'!$C26,'9. Thu, chi PABT'!$R$11:$R$20003,"="&amp;'7. D.Kiến thu, chi PABT'!$B26)</f>
        <v>0</v>
      </c>
      <c r="R26" s="41">
        <f t="shared" si="1"/>
        <v>0</v>
      </c>
    </row>
  </sheetData>
  <mergeCells count="4">
    <mergeCell ref="A1:F1"/>
    <mergeCell ref="A2:F2"/>
    <mergeCell ref="A4:R4"/>
    <mergeCell ref="E9:H9"/>
  </mergeCells>
  <dataValidations count="6">
    <dataValidation type="list" allowBlank="1" showInputMessage="1" showErrorMessage="1" sqref="C10:C26" xr:uid="{8826859E-0A6C-473D-B9B7-01FF8218330C}">
      <formula1>Số_QĐ_phương_án_bồi_thường_gốc</formula1>
    </dataValidation>
    <dataValidation type="list" allowBlank="1" showInputMessage="1" showErrorMessage="1" sqref="E10:E26" xr:uid="{E74EC469-D9C5-494A-86F8-061722398161}">
      <formula1>D.KIENCHIPABT_Họ_Và_Tên</formula1>
    </dataValidation>
    <dataValidation type="list" allowBlank="1" showInputMessage="1" showErrorMessage="1" sqref="F10:F26" xr:uid="{14C2AC57-FB85-4F66-82F6-B44F6B6880C8}">
      <formula1>D.KIENCHIPABT_Xã_Phường</formula1>
    </dataValidation>
    <dataValidation type="list" allowBlank="1" showInputMessage="1" showErrorMessage="1" sqref="G10:G26" xr:uid="{A04B55BE-4E4E-4BD3-8DCC-6190826B07E0}">
      <formula1>D.KIENCHIPABT_Thôn_Khu</formula1>
    </dataValidation>
    <dataValidation type="list" allowBlank="1" showInputMessage="1" showErrorMessage="1" sqref="H10:H26" xr:uid="{FE2C6545-F507-4780-B5F5-091F15A164CD}">
      <formula1>D.KIENCHIPABT_Số_CMT_CCCD</formula1>
    </dataValidation>
    <dataValidation type="list" allowBlank="1" showInputMessage="1" showErrorMessage="1" sqref="D10:D26" xr:uid="{C05CBF8B-41DA-4579-9253-81367AA4A5C7}">
      <formula1>D.KiếnPABT_QDDPABT_Điều_Chỉnh</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D50FA-E078-48AE-BD7F-C3C940D7EF4D}">
  <sheetPr>
    <tabColor rgb="FFFF0000"/>
  </sheetPr>
  <dimension ref="A1:S23"/>
  <sheetViews>
    <sheetView zoomScale="85" zoomScaleNormal="85" workbookViewId="0">
      <selection activeCell="F8" sqref="F8:I8"/>
    </sheetView>
  </sheetViews>
  <sheetFormatPr defaultColWidth="8.85546875" defaultRowHeight="15" x14ac:dyDescent="0.25"/>
  <cols>
    <col min="1" max="1" width="32.42578125" style="16" customWidth="1"/>
    <col min="2" max="2" width="9.85546875" style="16" customWidth="1"/>
    <col min="3" max="3" width="10.7109375" style="13" customWidth="1"/>
    <col min="4" max="5" width="9.7109375" style="13" customWidth="1"/>
    <col min="6" max="6" width="18.5703125" style="13" customWidth="1"/>
    <col min="7" max="9" width="12.5703125" style="13" customWidth="1"/>
    <col min="10" max="15" width="14.140625" style="50" customWidth="1"/>
    <col min="16" max="16" width="14.140625" style="51" customWidth="1"/>
    <col min="17" max="18" width="14.140625" style="50" customWidth="1"/>
    <col min="19" max="19" width="14.140625" style="51" customWidth="1"/>
    <col min="20" max="16384" width="8.85546875" style="87"/>
  </cols>
  <sheetData>
    <row r="1" spans="1:19" x14ac:dyDescent="0.25">
      <c r="A1" s="169" t="s">
        <v>9</v>
      </c>
      <c r="B1" s="169"/>
      <c r="C1" s="169"/>
      <c r="D1" s="169"/>
      <c r="E1" s="169"/>
      <c r="F1" s="169"/>
      <c r="G1" s="169"/>
      <c r="I1" s="95"/>
      <c r="O1" s="96"/>
      <c r="P1" s="102"/>
    </row>
    <row r="2" spans="1:19" x14ac:dyDescent="0.25">
      <c r="A2" s="169" t="s">
        <v>10</v>
      </c>
      <c r="B2" s="169"/>
      <c r="C2" s="169"/>
      <c r="D2" s="169"/>
      <c r="E2" s="169"/>
      <c r="F2" s="169"/>
      <c r="G2" s="169"/>
      <c r="I2" s="95"/>
      <c r="O2" s="96"/>
      <c r="P2" s="102"/>
    </row>
    <row r="3" spans="1:19" x14ac:dyDescent="0.25">
      <c r="B3" s="26"/>
      <c r="F3" s="69"/>
      <c r="G3" s="94"/>
      <c r="H3" s="69"/>
      <c r="I3" s="95"/>
      <c r="O3" s="96"/>
      <c r="P3" s="102"/>
    </row>
    <row r="4" spans="1:19" x14ac:dyDescent="0.25">
      <c r="A4" s="169" t="s">
        <v>193</v>
      </c>
      <c r="B4" s="169"/>
      <c r="C4" s="169"/>
      <c r="D4" s="169"/>
      <c r="E4" s="169"/>
      <c r="F4" s="169"/>
      <c r="G4" s="169"/>
      <c r="H4" s="169"/>
      <c r="I4" s="169"/>
      <c r="J4" s="169"/>
      <c r="K4" s="169"/>
      <c r="L4" s="169"/>
      <c r="M4" s="169"/>
      <c r="N4" s="169"/>
      <c r="O4" s="169"/>
      <c r="P4" s="169"/>
      <c r="Q4" s="169"/>
      <c r="R4" s="169"/>
      <c r="S4" s="169"/>
    </row>
    <row r="5" spans="1:19" x14ac:dyDescent="0.25">
      <c r="B5" s="17"/>
      <c r="I5" s="95"/>
      <c r="O5" s="96"/>
      <c r="P5" s="102"/>
    </row>
    <row r="6" spans="1:19" ht="51" x14ac:dyDescent="0.25">
      <c r="A6" s="8" t="s">
        <v>0</v>
      </c>
      <c r="B6" s="9" t="s">
        <v>134</v>
      </c>
      <c r="C6" s="8" t="s">
        <v>200</v>
      </c>
      <c r="D6" s="8" t="s">
        <v>63</v>
      </c>
      <c r="E6" s="8" t="s">
        <v>142</v>
      </c>
      <c r="F6" s="4" t="s">
        <v>36</v>
      </c>
      <c r="G6" s="4" t="s">
        <v>133</v>
      </c>
      <c r="H6" s="5" t="s">
        <v>154</v>
      </c>
      <c r="I6" s="5" t="s">
        <v>82</v>
      </c>
      <c r="J6" s="104" t="s">
        <v>199</v>
      </c>
      <c r="K6" s="104" t="s">
        <v>240</v>
      </c>
      <c r="L6" s="104" t="s">
        <v>241</v>
      </c>
      <c r="M6" s="116" t="s">
        <v>242</v>
      </c>
      <c r="N6" s="104" t="s">
        <v>243</v>
      </c>
      <c r="O6" s="104" t="s">
        <v>244</v>
      </c>
      <c r="P6" s="123" t="s">
        <v>245</v>
      </c>
      <c r="Q6" s="104" t="s">
        <v>246</v>
      </c>
      <c r="R6" s="104" t="s">
        <v>247</v>
      </c>
      <c r="S6" s="104" t="s">
        <v>248</v>
      </c>
    </row>
    <row r="7" spans="1:19" x14ac:dyDescent="0.25">
      <c r="A7" s="8" t="s">
        <v>366</v>
      </c>
      <c r="B7" s="87"/>
      <c r="C7" s="8"/>
      <c r="D7" s="8"/>
      <c r="E7" s="8"/>
      <c r="F7" s="4"/>
      <c r="G7" s="4"/>
      <c r="H7" s="5"/>
      <c r="I7" s="5"/>
      <c r="J7" s="104"/>
      <c r="K7" s="104"/>
      <c r="L7" s="104"/>
      <c r="M7" s="116"/>
      <c r="N7" s="104"/>
      <c r="O7" s="104"/>
      <c r="P7" s="123"/>
      <c r="Q7" s="104"/>
      <c r="R7" s="104"/>
      <c r="S7" s="104"/>
    </row>
    <row r="8" spans="1:19" ht="51" x14ac:dyDescent="0.25">
      <c r="A8" s="8"/>
      <c r="B8" s="9" t="s">
        <v>367</v>
      </c>
      <c r="C8" s="8" t="s">
        <v>323</v>
      </c>
      <c r="D8" s="8" t="s">
        <v>337</v>
      </c>
      <c r="E8" s="8" t="s">
        <v>338</v>
      </c>
      <c r="F8" s="172" t="s">
        <v>363</v>
      </c>
      <c r="G8" s="173"/>
      <c r="H8" s="173"/>
      <c r="I8" s="186"/>
      <c r="J8" s="104"/>
      <c r="K8" s="104"/>
      <c r="L8" s="104"/>
      <c r="M8" s="116"/>
      <c r="N8" s="104"/>
      <c r="O8" s="104"/>
      <c r="P8" s="123" t="s">
        <v>364</v>
      </c>
      <c r="Q8" s="104"/>
      <c r="R8" s="104"/>
      <c r="S8" s="104"/>
    </row>
    <row r="9" spans="1:19" x14ac:dyDescent="0.25">
      <c r="A9" s="7"/>
      <c r="B9" s="67">
        <v>45335</v>
      </c>
      <c r="C9" s="8">
        <v>110</v>
      </c>
      <c r="D9" s="8" t="s">
        <v>136</v>
      </c>
      <c r="E9" s="8"/>
      <c r="F9" s="8" t="s">
        <v>110</v>
      </c>
      <c r="G9" s="8" t="s">
        <v>152</v>
      </c>
      <c r="H9" s="8" t="s">
        <v>112</v>
      </c>
      <c r="I9" s="8" t="s">
        <v>114</v>
      </c>
      <c r="J9" s="98">
        <f>SUMIFS('4. C.Tiết P.Án B.Thường'!$O$11:$O$20001,'4. C.Tiết P.Án B.Thường'!$J$11:$J$20001,'8. D.kiến thu,chi GPMB nhanh'!$F9,'4. C.Tiết P.Án B.Thường'!$K$11:$K$20001,'8. D.kiến thu,chi GPMB nhanh'!$G9,'4. C.Tiết P.Án B.Thường'!$L$11:$L$20001,'8. D.kiến thu,chi GPMB nhanh'!$H9,'4. C.Tiết P.Án B.Thường'!$M$11:$M$20001,'8. D.kiến thu,chi GPMB nhanh'!$I9,'4. C.Tiết P.Án B.Thường'!$B$11:$B$20001,'8. D.kiến thu,chi GPMB nhanh'!$C9,'4. C.Tiết P.Án B.Thường'!$F$11:$F$20001,'8. D.kiến thu,chi GPMB nhanh'!$D9,'4. C.Tiết P.Án B.Thường'!$F$11:$F$20001,"&lt;&gt;"&amp;"Tạm ứng",'4. C.Tiết P.Án B.Thường'!$H$11:$H$20001,"",'4. C.Tiết P.Án B.Thường'!$G$11:$G$20001,"&lt;="&amp;'8. D.kiến thu,chi GPMB nhanh'!$B9)+SUMIFS('4. C.Tiết P.Án B.Thường'!$O$11:$O$20001,'4. C.Tiết P.Án B.Thường'!$J$11:$J$20001,'8. D.kiến thu,chi GPMB nhanh'!$F9,'4. C.Tiết P.Án B.Thường'!$K$11:$K$20001,'8. D.kiến thu,chi GPMB nhanh'!$G9,'4. C.Tiết P.Án B.Thường'!$L$11:$L$20001,'8. D.kiến thu,chi GPMB nhanh'!$H9,'4. C.Tiết P.Án B.Thường'!$M$11:$M$20001,'8. D.kiến thu,chi GPMB nhanh'!$I9,'4. C.Tiết P.Án B.Thường'!$B$11:$B$20001,'8. D.kiến thu,chi GPMB nhanh'!$C9,'4. C.Tiết P.Án B.Thường'!$H$11:$H$20001,"&lt;&gt;"&amp;"Tạm ứng",'4. C.Tiết P.Án B.Thường'!$H$11:$H$20001,"&lt;&gt;"&amp;"",'4. C.Tiết P.Án B.Thường'!$I$11:$I$20001,"&lt;="&amp;'8. D.kiến thu,chi GPMB nhanh'!$B9)</f>
        <v>0</v>
      </c>
      <c r="K9" s="98">
        <f>SUMIFS('9. Thu, chi PABT'!$T$11:$T$20001,'9. Thu, chi PABT'!$J$11:$J$20001,'8. D.kiến thu,chi GPMB nhanh'!$F9,'9. Thu, chi PABT'!$K$11:$K$20001,'8. D.kiến thu,chi GPMB nhanh'!$G9,'9. Thu, chi PABT'!$L$11:$L$20001,'8. D.kiến thu,chi GPMB nhanh'!$H9,'9. Thu, chi PABT'!$M$11:$M$20001,'8. D.kiến thu,chi GPMB nhanh'!$I9,'9. Thu, chi PABT'!$B$11:$B$20001,'8. D.kiến thu,chi GPMB nhanh'!$C9,'9. Thu, chi PABT'!$F$11:$F$20001,"Tạm ứng",'9. Thu, chi PABT'!$R$11:$R$20001,"&lt;"&amp;'8. D.kiến thu,chi GPMB nhanh'!$B9)+SUMIFS('9. Thu, chi PABT'!$T$11:$T$20001,'9. Thu, chi PABT'!$J$11:$J$20001,'8. D.kiến thu,chi GPMB nhanh'!$F9,'9. Thu, chi PABT'!$K$11:$K$20001,'8. D.kiến thu,chi GPMB nhanh'!$G9,'9. Thu, chi PABT'!$L$11:$L$20001,'8. D.kiến thu,chi GPMB nhanh'!$H9,'9. Thu, chi PABT'!$M$11:$M$20001,'8. D.kiến thu,chi GPMB nhanh'!$I9,'9. Thu, chi PABT'!$B$11:$B$20001,'8. D.kiến thu,chi GPMB nhanh'!$C9,'9. Thu, chi PABT'!$F$11:$F$20001,'8. D.kiến thu,chi GPMB nhanh'!$D9,'9. Thu, chi PABT'!$H$11:$H$20001,"Tạm ứng",'9. Thu, chi PABT'!$R$11:$R$20001,"&lt;"&amp;'8. D.kiến thu,chi GPMB nhanh'!$B9)</f>
        <v>0</v>
      </c>
      <c r="L9" s="98">
        <f>SUMIFS('9. Thu, chi PABT'!$T$11:$T$20001,'9. Thu, chi PABT'!$J$11:$J$20001,'8. D.kiến thu,chi GPMB nhanh'!$F9,'9. Thu, chi PABT'!$K$11:$K$20001,'8. D.kiến thu,chi GPMB nhanh'!$G9,'9. Thu, chi PABT'!$L$11:$L$20001,'8. D.kiến thu,chi GPMB nhanh'!$H9,'9. Thu, chi PABT'!$M$11:$M$20001,'8. D.kiến thu,chi GPMB nhanh'!$I9,'9. Thu, chi PABT'!$B$11:$B$20001,'8. D.kiến thu,chi GPMB nhanh'!$C9,'9. Thu, chi PABT'!$F$11:$F$20001,'8. D.kiến thu,chi GPMB nhanh'!$D9,'9. Thu, chi PABT'!$F$11:$F$20001,"&lt;&gt;"&amp;"Tạm ứng",'9. Thu, chi PABT'!$F$11:$F$20001,"&lt;&gt;"&amp;"",'9. Thu, chi PABT'!$R$11:$R$20001,"&lt;"&amp;'8. D.kiến thu,chi GPMB nhanh'!$B9)-SUMIFS('9. Thu, chi PABT'!$U$11:$U$20001,'9. Thu, chi PABT'!$J$11:$J$20001,'8. D.kiến thu,chi GPMB nhanh'!$F9,'9. Thu, chi PABT'!$K$11:$K$20001,'8. D.kiến thu,chi GPMB nhanh'!$G9,'9. Thu, chi PABT'!$L$11:$L$20001,'8. D.kiến thu,chi GPMB nhanh'!$H9,'9. Thu, chi PABT'!$M$11:$M$20001,'8. D.kiến thu,chi GPMB nhanh'!$I9,'9. Thu, chi PABT'!$B$11:$B$20001,'8. D.kiến thu,chi GPMB nhanh'!$C9,'9. Thu, chi PABT'!$F$11:$F$20001,'8. D.kiến thu,chi GPMB nhanh'!$D9,'9. Thu, chi PABT'!$R$11:$R$20001,"&lt;"&amp;'8. D.kiến thu,chi GPMB nhanh'!$B9)</f>
        <v>0</v>
      </c>
      <c r="M9" s="98">
        <f>SUMIFS('6. DS hộ  thu hồi GPMB nhanh'!$I$10:$I$20001,'6. DS hộ  thu hồi GPMB nhanh'!$E$10:$E$20001,'8. D.kiến thu,chi GPMB nhanh'!$F9,'6. DS hộ  thu hồi GPMB nhanh'!$F$10:$F$20001,'8. D.kiến thu,chi GPMB nhanh'!$G9,'6. DS hộ  thu hồi GPMB nhanh'!$G$10:$G$20001,'8. D.kiến thu,chi GPMB nhanh'!$H9,'6. DS hộ  thu hồi GPMB nhanh'!$H$10:$H$20001,'8. D.kiến thu,chi GPMB nhanh'!$I9,'6. DS hộ  thu hồi GPMB nhanh'!$M$10:$M$20001,"Thu hồi",'6. DS hộ  thu hồi GPMB nhanh'!$C$10:$C$20001,'8. D.kiến thu,chi GPMB nhanh'!$C9,'6. DS hộ  thu hồi GPMB nhanh'!$D$10:$D$20001,'8. D.kiến thu,chi GPMB nhanh'!$D9,'6. DS hộ  thu hồi GPMB nhanh'!$B$10:$B$20001,'8. D.kiến thu,chi GPMB nhanh'!$B9)</f>
        <v>0</v>
      </c>
      <c r="N9" s="98">
        <f>SUMIFS('6. DS hộ  thu hồi GPMB nhanh'!$J$10:$J$20002,'6. DS hộ  thu hồi GPMB nhanh'!$E$10:$E$20002,'8. D.kiến thu,chi GPMB nhanh'!$F9,'6. DS hộ  thu hồi GPMB nhanh'!$F$10:$F$20002,'8. D.kiến thu,chi GPMB nhanh'!$G9,'6. DS hộ  thu hồi GPMB nhanh'!$G$10:$G$20002,'8. D.kiến thu,chi GPMB nhanh'!$H9,'6. DS hộ  thu hồi GPMB nhanh'!$H$10:$H$20002,'8. D.kiến thu,chi GPMB nhanh'!$I9,'6. DS hộ  thu hồi GPMB nhanh'!$C$10:$C$20002,'8. D.kiến thu,chi GPMB nhanh'!$C9,'6. DS hộ  thu hồi GPMB nhanh'!$D$10:$D$20002,'8. D.kiến thu,chi GPMB nhanh'!$D9,'6. DS hộ  thu hồi GPMB nhanh'!$B$10:$B$20002,'8. D.kiến thu,chi GPMB nhanh'!$B9,'6. DS hộ  thu hồi GPMB nhanh'!$M$10:$M$20002,"Thu hồi")</f>
        <v>0</v>
      </c>
      <c r="O9" s="125">
        <f>(J9-L9)+N9</f>
        <v>0</v>
      </c>
      <c r="P9" s="124">
        <v>50000000</v>
      </c>
      <c r="Q9" s="98">
        <f>SUMIFS('9. Thu, chi PABT'!$T$11:$T$20001,'9. Thu, chi PABT'!$J$11:$J$20001,'8. D.kiến thu,chi GPMB nhanh'!$F9,'9. Thu, chi PABT'!$K$11:$K$20001,'8. D.kiến thu,chi GPMB nhanh'!$G9,'9. Thu, chi PABT'!$L$11:$L$20001,'8. D.kiến thu,chi GPMB nhanh'!$H9,'9. Thu, chi PABT'!$M$11:$M$20001,'8. D.kiến thu,chi GPMB nhanh'!$I9,'9. Thu, chi PABT'!$B$11:$B$20001,'8. D.kiến thu,chi GPMB nhanh'!$C9,'9. Thu, chi PABT'!$F$11:$F$20001,'8. D.kiến thu,chi GPMB nhanh'!$D9,'9. Thu, chi PABT'!$R$11:$R$20001,"="&amp;'8. D.kiến thu,chi GPMB nhanh'!$B9)</f>
        <v>50000000</v>
      </c>
      <c r="R9" s="98">
        <f>SUMIFS('9. Thu, chi PABT'!$U$11:$U$20001,'9. Thu, chi PABT'!$J$11:$J$20001,'8. D.kiến thu,chi GPMB nhanh'!$F9,'9. Thu, chi PABT'!$K$11:$K$20001,'8. D.kiến thu,chi GPMB nhanh'!$G9,'9. Thu, chi PABT'!$L$11:$L$20001,'8. D.kiến thu,chi GPMB nhanh'!$H9,'9. Thu, chi PABT'!$M$11:$M$20001,'8. D.kiến thu,chi GPMB nhanh'!$I9,'9. Thu, chi PABT'!$B$11:$B$20001,'8. D.kiến thu,chi GPMB nhanh'!$C9,'9. Thu, chi PABT'!$F$11:$F$20001,'8. D.kiến thu,chi GPMB nhanh'!$D9,'9. Thu, chi PABT'!$R$11:$R$20001,'8. D.kiến thu,chi GPMB nhanh'!$B9)</f>
        <v>0</v>
      </c>
      <c r="S9" s="41">
        <f>IF(OR(Q9&gt;0,R9&gt;0),(J9-L9-Q9)+R9,O9-P9)</f>
        <v>-50000000</v>
      </c>
    </row>
    <row r="10" spans="1:19" x14ac:dyDescent="0.25">
      <c r="A10" s="7"/>
      <c r="B10" s="67">
        <v>45342</v>
      </c>
      <c r="C10" s="8">
        <v>110</v>
      </c>
      <c r="D10" s="8"/>
      <c r="E10" s="8"/>
      <c r="F10" s="8" t="s">
        <v>110</v>
      </c>
      <c r="G10" s="8" t="s">
        <v>152</v>
      </c>
      <c r="H10" s="8" t="s">
        <v>112</v>
      </c>
      <c r="I10" s="8" t="s">
        <v>114</v>
      </c>
      <c r="J10" s="98">
        <f>SUMIFS('4. C.Tiết P.Án B.Thường'!$O$11:$O$20001,'4. C.Tiết P.Án B.Thường'!$J$11:$J$20001,'8. D.kiến thu,chi GPMB nhanh'!$F10,'4. C.Tiết P.Án B.Thường'!$K$11:$K$20001,'8. D.kiến thu,chi GPMB nhanh'!$G10,'4. C.Tiết P.Án B.Thường'!$L$11:$L$20001,'8. D.kiến thu,chi GPMB nhanh'!$H10,'4. C.Tiết P.Án B.Thường'!$M$11:$M$20001,'8. D.kiến thu,chi GPMB nhanh'!$I10,'4. C.Tiết P.Án B.Thường'!$B$11:$B$20001,'8. D.kiến thu,chi GPMB nhanh'!$C10,'4. C.Tiết P.Án B.Thường'!$F$11:$F$20001,'8. D.kiến thu,chi GPMB nhanh'!$D10,'4. C.Tiết P.Án B.Thường'!$F$11:$F$20001,"&lt;&gt;"&amp;"Tạm ứng",'4. C.Tiết P.Án B.Thường'!$H$11:$H$20001,"",'4. C.Tiết P.Án B.Thường'!$G$11:$G$20001,"&lt;="&amp;'8. D.kiến thu,chi GPMB nhanh'!$B10)+SUMIFS('4. C.Tiết P.Án B.Thường'!$O$11:$O$20001,'4. C.Tiết P.Án B.Thường'!$J$11:$J$20001,'8. D.kiến thu,chi GPMB nhanh'!$F10,'4. C.Tiết P.Án B.Thường'!$K$11:$K$20001,'8. D.kiến thu,chi GPMB nhanh'!$G10,'4. C.Tiết P.Án B.Thường'!$L$11:$L$20001,'8. D.kiến thu,chi GPMB nhanh'!$H10,'4. C.Tiết P.Án B.Thường'!$M$11:$M$20001,'8. D.kiến thu,chi GPMB nhanh'!$I10,'4. C.Tiết P.Án B.Thường'!$B$11:$B$20001,'8. D.kiến thu,chi GPMB nhanh'!$C10,'4. C.Tiết P.Án B.Thường'!$H$11:$H$20001,"&lt;&gt;"&amp;"Tạm ứng",'4. C.Tiết P.Án B.Thường'!$H$11:$H$20001,"&lt;&gt;"&amp;"",'4. C.Tiết P.Án B.Thường'!$I$11:$I$20001,"&lt;="&amp;'8. D.kiến thu,chi GPMB nhanh'!$B10)</f>
        <v>0</v>
      </c>
      <c r="K10" s="98">
        <f>SUMIFS('9. Thu, chi PABT'!$T$11:$T$20001,'9. Thu, chi PABT'!$J$11:$J$20001,'8. D.kiến thu,chi GPMB nhanh'!$F10,'9. Thu, chi PABT'!$K$11:$K$20001,'8. D.kiến thu,chi GPMB nhanh'!$G10,'9. Thu, chi PABT'!$L$11:$L$20001,'8. D.kiến thu,chi GPMB nhanh'!$H10,'9. Thu, chi PABT'!$M$11:$M$20001,'8. D.kiến thu,chi GPMB nhanh'!$I10,'9. Thu, chi PABT'!$B$11:$B$20001,'8. D.kiến thu,chi GPMB nhanh'!$C10,'9. Thu, chi PABT'!$F$11:$F$20001,"Tạm ứng",'9. Thu, chi PABT'!$R$11:$R$20001,"&lt;"&amp;'8. D.kiến thu,chi GPMB nhanh'!$B10)+SUMIFS('9. Thu, chi PABT'!$T$11:$T$20001,'9. Thu, chi PABT'!$J$11:$J$20001,'8. D.kiến thu,chi GPMB nhanh'!$F10,'9. Thu, chi PABT'!$K$11:$K$20001,'8. D.kiến thu,chi GPMB nhanh'!$G10,'9. Thu, chi PABT'!$L$11:$L$20001,'8. D.kiến thu,chi GPMB nhanh'!$H10,'9. Thu, chi PABT'!$M$11:$M$20001,'8. D.kiến thu,chi GPMB nhanh'!$I10,'9. Thu, chi PABT'!$B$11:$B$20001,'8. D.kiến thu,chi GPMB nhanh'!$C10,'9. Thu, chi PABT'!$F$11:$F$20001,'8. D.kiến thu,chi GPMB nhanh'!$D10,'9. Thu, chi PABT'!$H$11:$H$20001,"Tạm ứng",'9. Thu, chi PABT'!$R$11:$R$20001,"&lt;"&amp;'8. D.kiến thu,chi GPMB nhanh'!$B10)</f>
        <v>50000000</v>
      </c>
      <c r="L10" s="98">
        <f>SUMIFS('9. Thu, chi PABT'!$T$11:$T$20001,'9. Thu, chi PABT'!$J$11:$J$20001,'8. D.kiến thu,chi GPMB nhanh'!$F10,'9. Thu, chi PABT'!$K$11:$K$20001,'8. D.kiến thu,chi GPMB nhanh'!$G10,'9. Thu, chi PABT'!$L$11:$L$20001,'8. D.kiến thu,chi GPMB nhanh'!$H10,'9. Thu, chi PABT'!$M$11:$M$20001,'8. D.kiến thu,chi GPMB nhanh'!$I10,'9. Thu, chi PABT'!$B$11:$B$20001,'8. D.kiến thu,chi GPMB nhanh'!$C10,'9. Thu, chi PABT'!$F$11:$F$20001,'8. D.kiến thu,chi GPMB nhanh'!$D10,'9. Thu, chi PABT'!$F$11:$F$20001,"&lt;&gt;"&amp;"Tạm ứng",'9. Thu, chi PABT'!$F$11:$F$20001,"&lt;&gt;"&amp;"",'9. Thu, chi PABT'!$R$11:$R$20001,"&lt;"&amp;'8. D.kiến thu,chi GPMB nhanh'!$B10)-SUMIFS('9. Thu, chi PABT'!$U$11:$U$20001,'9. Thu, chi PABT'!$J$11:$J$20001,'8. D.kiến thu,chi GPMB nhanh'!$F10,'9. Thu, chi PABT'!$K$11:$K$20001,'8. D.kiến thu,chi GPMB nhanh'!$G10,'9. Thu, chi PABT'!$L$11:$L$20001,'8. D.kiến thu,chi GPMB nhanh'!$H10,'9. Thu, chi PABT'!$M$11:$M$20001,'8. D.kiến thu,chi GPMB nhanh'!$I10,'9. Thu, chi PABT'!$B$11:$B$20001,'8. D.kiến thu,chi GPMB nhanh'!$C10,'9. Thu, chi PABT'!$F$11:$F$20001,'8. D.kiến thu,chi GPMB nhanh'!$D10,'9. Thu, chi PABT'!$R$11:$R$20001,"&lt;"&amp;'8. D.kiến thu,chi GPMB nhanh'!$B10)</f>
        <v>0</v>
      </c>
      <c r="M10" s="98">
        <f>SUMIFS('6. DS hộ  thu hồi GPMB nhanh'!$I$10:$I$20001,'6. DS hộ  thu hồi GPMB nhanh'!$E$10:$E$20001,'8. D.kiến thu,chi GPMB nhanh'!$F10,'6. DS hộ  thu hồi GPMB nhanh'!$F$10:$F$20001,'8. D.kiến thu,chi GPMB nhanh'!$G10,'6. DS hộ  thu hồi GPMB nhanh'!$G$10:$G$20001,'8. D.kiến thu,chi GPMB nhanh'!$H10,'6. DS hộ  thu hồi GPMB nhanh'!$H$10:$H$20001,'8. D.kiến thu,chi GPMB nhanh'!$I10,'6. DS hộ  thu hồi GPMB nhanh'!$M$10:$M$20001,"Thu hồi",'6. DS hộ  thu hồi GPMB nhanh'!$C$10:$C$20001,'8. D.kiến thu,chi GPMB nhanh'!$C10,'6. DS hộ  thu hồi GPMB nhanh'!$D$10:$D$20001,'8. D.kiến thu,chi GPMB nhanh'!$D10,'6. DS hộ  thu hồi GPMB nhanh'!$B$10:$B$20001,'8. D.kiến thu,chi GPMB nhanh'!$B10)</f>
        <v>0</v>
      </c>
      <c r="N10" s="98">
        <f>SUMIFS('6. DS hộ  thu hồi GPMB nhanh'!$J$10:$J$20002,'6. DS hộ  thu hồi GPMB nhanh'!$E$10:$E$20002,'8. D.kiến thu,chi GPMB nhanh'!$F10,'6. DS hộ  thu hồi GPMB nhanh'!$F$10:$F$20002,'8. D.kiến thu,chi GPMB nhanh'!$G10,'6. DS hộ  thu hồi GPMB nhanh'!$G$10:$G$20002,'8. D.kiến thu,chi GPMB nhanh'!$H10,'6. DS hộ  thu hồi GPMB nhanh'!$H$10:$H$20002,'8. D.kiến thu,chi GPMB nhanh'!$I10,'6. DS hộ  thu hồi GPMB nhanh'!$C$10:$C$20002,'8. D.kiến thu,chi GPMB nhanh'!$C10,'6. DS hộ  thu hồi GPMB nhanh'!$D$10:$D$20002,'8. D.kiến thu,chi GPMB nhanh'!$D10,'6. DS hộ  thu hồi GPMB nhanh'!$B$10:$B$20002,'8. D.kiến thu,chi GPMB nhanh'!$B10,'6. DS hộ  thu hồi GPMB nhanh'!$M$10:$M$20002,"Thu hồi")</f>
        <v>0</v>
      </c>
      <c r="O10" s="125">
        <f t="shared" ref="O10:O23" si="0">(J10-L10)+N10</f>
        <v>0</v>
      </c>
      <c r="P10" s="124"/>
      <c r="Q10" s="98">
        <f>SUMIFS('9. Thu, chi PABT'!$T$11:$T$20001,'9. Thu, chi PABT'!$J$11:$J$20001,'8. D.kiến thu,chi GPMB nhanh'!$F10,'9. Thu, chi PABT'!$K$11:$K$20001,'8. D.kiến thu,chi GPMB nhanh'!$G10,'9. Thu, chi PABT'!$L$11:$L$20001,'8. D.kiến thu,chi GPMB nhanh'!$H10,'9. Thu, chi PABT'!$M$11:$M$20001,'8. D.kiến thu,chi GPMB nhanh'!$I10,'9. Thu, chi PABT'!$B$11:$B$20001,'8. D.kiến thu,chi GPMB nhanh'!$C10,'9. Thu, chi PABT'!$F$11:$F$20001,'8. D.kiến thu,chi GPMB nhanh'!$D10,'9. Thu, chi PABT'!$R$11:$R$20001,"="&amp;'8. D.kiến thu,chi GPMB nhanh'!$B10)</f>
        <v>0</v>
      </c>
      <c r="R10" s="98">
        <f>SUMIFS('9. Thu, chi PABT'!$U$11:$U$20001,'9. Thu, chi PABT'!$J$11:$J$20001,'8. D.kiến thu,chi GPMB nhanh'!$F10,'9. Thu, chi PABT'!$K$11:$K$20001,'8. D.kiến thu,chi GPMB nhanh'!$G10,'9. Thu, chi PABT'!$L$11:$L$20001,'8. D.kiến thu,chi GPMB nhanh'!$H10,'9. Thu, chi PABT'!$M$11:$M$20001,'8. D.kiến thu,chi GPMB nhanh'!$I10,'9. Thu, chi PABT'!$B$11:$B$20001,'8. D.kiến thu,chi GPMB nhanh'!$C10,'9. Thu, chi PABT'!$F$11:$F$20001,'8. D.kiến thu,chi GPMB nhanh'!$D10,'9. Thu, chi PABT'!$R$11:$R$20001,'8. D.kiến thu,chi GPMB nhanh'!$B10)</f>
        <v>0</v>
      </c>
      <c r="S10" s="41">
        <f t="shared" ref="S10:S23" si="1">IF(OR(Q10&gt;0,R10&gt;0),(J10-L10-Q10)+R10,O10-P10)</f>
        <v>0</v>
      </c>
    </row>
    <row r="11" spans="1:19" x14ac:dyDescent="0.25">
      <c r="A11" s="7"/>
      <c r="B11" s="67">
        <v>45362</v>
      </c>
      <c r="C11" s="8">
        <v>120</v>
      </c>
      <c r="D11" s="8">
        <v>220</v>
      </c>
      <c r="E11" s="8"/>
      <c r="F11" s="8" t="s">
        <v>110</v>
      </c>
      <c r="G11" s="8" t="s">
        <v>152</v>
      </c>
      <c r="H11" s="8" t="s">
        <v>112</v>
      </c>
      <c r="I11" s="8" t="s">
        <v>114</v>
      </c>
      <c r="J11" s="98">
        <f>SUMIFS('4. C.Tiết P.Án B.Thường'!$O$11:$O$20001,'4. C.Tiết P.Án B.Thường'!$J$11:$J$20001,'8. D.kiến thu,chi GPMB nhanh'!$F11,'4. C.Tiết P.Án B.Thường'!$K$11:$K$20001,'8. D.kiến thu,chi GPMB nhanh'!$G11,'4. C.Tiết P.Án B.Thường'!$L$11:$L$20001,'8. D.kiến thu,chi GPMB nhanh'!$H11,'4. C.Tiết P.Án B.Thường'!$M$11:$M$20001,'8. D.kiến thu,chi GPMB nhanh'!$I11,'4. C.Tiết P.Án B.Thường'!$B$11:$B$20001,'8. D.kiến thu,chi GPMB nhanh'!$C11,'4. C.Tiết P.Án B.Thường'!$F$11:$F$20001,'8. D.kiến thu,chi GPMB nhanh'!$D11,'4. C.Tiết P.Án B.Thường'!$F$11:$F$20001,"&lt;&gt;"&amp;"Tạm ứng",'4. C.Tiết P.Án B.Thường'!$H$11:$H$20001,"",'4. C.Tiết P.Án B.Thường'!$G$11:$G$20001,"&lt;="&amp;'8. D.kiến thu,chi GPMB nhanh'!$B11)+SUMIFS('4. C.Tiết P.Án B.Thường'!$O$11:$O$20001,'4. C.Tiết P.Án B.Thường'!$J$11:$J$20001,'8. D.kiến thu,chi GPMB nhanh'!$F11,'4. C.Tiết P.Án B.Thường'!$K$11:$K$20001,'8. D.kiến thu,chi GPMB nhanh'!$G11,'4. C.Tiết P.Án B.Thường'!$L$11:$L$20001,'8. D.kiến thu,chi GPMB nhanh'!$H11,'4. C.Tiết P.Án B.Thường'!$M$11:$M$20001,'8. D.kiến thu,chi GPMB nhanh'!$I11,'4. C.Tiết P.Án B.Thường'!$B$11:$B$20001,'8. D.kiến thu,chi GPMB nhanh'!$C11,'4. C.Tiết P.Án B.Thường'!$H$11:$H$20001,"&lt;&gt;"&amp;"Tạm ứng",'4. C.Tiết P.Án B.Thường'!$H$11:$H$20001,"&lt;&gt;"&amp;"",'4. C.Tiết P.Án B.Thường'!$I$11:$I$20001,"&lt;="&amp;'8. D.kiến thu,chi GPMB nhanh'!$B11)</f>
        <v>40000000</v>
      </c>
      <c r="K11" s="98">
        <f>SUMIFS('9. Thu, chi PABT'!$T$11:$T$20001,'9. Thu, chi PABT'!$J$11:$J$20001,'8. D.kiến thu,chi GPMB nhanh'!$F11,'9. Thu, chi PABT'!$K$11:$K$20001,'8. D.kiến thu,chi GPMB nhanh'!$G11,'9. Thu, chi PABT'!$L$11:$L$20001,'8. D.kiến thu,chi GPMB nhanh'!$H11,'9. Thu, chi PABT'!$M$11:$M$20001,'8. D.kiến thu,chi GPMB nhanh'!$I11,'9. Thu, chi PABT'!$B$11:$B$20001,'8. D.kiến thu,chi GPMB nhanh'!$C11,'9. Thu, chi PABT'!$F$11:$F$20001,"Tạm ứng",'9. Thu, chi PABT'!$R$11:$R$20001,"&lt;"&amp;'8. D.kiến thu,chi GPMB nhanh'!$B11)+SUMIFS('9. Thu, chi PABT'!$T$11:$T$20001,'9. Thu, chi PABT'!$J$11:$J$20001,'8. D.kiến thu,chi GPMB nhanh'!$F11,'9. Thu, chi PABT'!$K$11:$K$20001,'8. D.kiến thu,chi GPMB nhanh'!$G11,'9. Thu, chi PABT'!$L$11:$L$20001,'8. D.kiến thu,chi GPMB nhanh'!$H11,'9. Thu, chi PABT'!$M$11:$M$20001,'8. D.kiến thu,chi GPMB nhanh'!$I11,'9. Thu, chi PABT'!$B$11:$B$20001,'8. D.kiến thu,chi GPMB nhanh'!$C11,'9. Thu, chi PABT'!$F$11:$F$20001,'8. D.kiến thu,chi GPMB nhanh'!$D11,'9. Thu, chi PABT'!$H$11:$H$20001,"Tạm ứng",'9. Thu, chi PABT'!$R$11:$R$20001,"&lt;"&amp;'8. D.kiến thu,chi GPMB nhanh'!$B11)</f>
        <v>0</v>
      </c>
      <c r="L11" s="98">
        <f>SUMIFS('9. Thu, chi PABT'!$T$11:$T$20001,'9. Thu, chi PABT'!$J$11:$J$20001,'8. D.kiến thu,chi GPMB nhanh'!$F11,'9. Thu, chi PABT'!$K$11:$K$20001,'8. D.kiến thu,chi GPMB nhanh'!$G11,'9. Thu, chi PABT'!$L$11:$L$20001,'8. D.kiến thu,chi GPMB nhanh'!$H11,'9. Thu, chi PABT'!$M$11:$M$20001,'8. D.kiến thu,chi GPMB nhanh'!$I11,'9. Thu, chi PABT'!$B$11:$B$20001,'8. D.kiến thu,chi GPMB nhanh'!$C11,'9. Thu, chi PABT'!$F$11:$F$20001,'8. D.kiến thu,chi GPMB nhanh'!$D11,'9. Thu, chi PABT'!$F$11:$F$20001,"&lt;&gt;"&amp;"Tạm ứng",'9. Thu, chi PABT'!$F$11:$F$20001,"&lt;&gt;"&amp;"",'9. Thu, chi PABT'!$R$11:$R$20001,"&lt;"&amp;'8. D.kiến thu,chi GPMB nhanh'!$B11)-SUMIFS('9. Thu, chi PABT'!$U$11:$U$20001,'9. Thu, chi PABT'!$J$11:$J$20001,'8. D.kiến thu,chi GPMB nhanh'!$F11,'9. Thu, chi PABT'!$K$11:$K$20001,'8. D.kiến thu,chi GPMB nhanh'!$G11,'9. Thu, chi PABT'!$L$11:$L$20001,'8. D.kiến thu,chi GPMB nhanh'!$H11,'9. Thu, chi PABT'!$M$11:$M$20001,'8. D.kiến thu,chi GPMB nhanh'!$I11,'9. Thu, chi PABT'!$B$11:$B$20001,'8. D.kiến thu,chi GPMB nhanh'!$C11,'9. Thu, chi PABT'!$F$11:$F$20001,'8. D.kiến thu,chi GPMB nhanh'!$D11,'9. Thu, chi PABT'!$R$11:$R$20001,"&lt;"&amp;'8. D.kiến thu,chi GPMB nhanh'!$B11)</f>
        <v>0</v>
      </c>
      <c r="M11" s="98">
        <f>SUMIFS('6. DS hộ  thu hồi GPMB nhanh'!$I$10:$I$20001,'6. DS hộ  thu hồi GPMB nhanh'!$E$10:$E$20001,'8. D.kiến thu,chi GPMB nhanh'!$F11,'6. DS hộ  thu hồi GPMB nhanh'!$F$10:$F$20001,'8. D.kiến thu,chi GPMB nhanh'!$G11,'6. DS hộ  thu hồi GPMB nhanh'!$G$10:$G$20001,'8. D.kiến thu,chi GPMB nhanh'!$H11,'6. DS hộ  thu hồi GPMB nhanh'!$H$10:$H$20001,'8. D.kiến thu,chi GPMB nhanh'!$I11,'6. DS hộ  thu hồi GPMB nhanh'!$M$10:$M$20001,"Thu hồi",'6. DS hộ  thu hồi GPMB nhanh'!$C$10:$C$20001,'8. D.kiến thu,chi GPMB nhanh'!$C11,'6. DS hộ  thu hồi GPMB nhanh'!$D$10:$D$20001,'8. D.kiến thu,chi GPMB nhanh'!$D11,'6. DS hộ  thu hồi GPMB nhanh'!$B$10:$B$20001,'8. D.kiến thu,chi GPMB nhanh'!$B11)</f>
        <v>0</v>
      </c>
      <c r="N11" s="98">
        <f>SUMIFS('6. DS hộ  thu hồi GPMB nhanh'!$J$10:$J$20002,'6. DS hộ  thu hồi GPMB nhanh'!$E$10:$E$20002,'8. D.kiến thu,chi GPMB nhanh'!$F11,'6. DS hộ  thu hồi GPMB nhanh'!$F$10:$F$20002,'8. D.kiến thu,chi GPMB nhanh'!$G11,'6. DS hộ  thu hồi GPMB nhanh'!$G$10:$G$20002,'8. D.kiến thu,chi GPMB nhanh'!$H11,'6. DS hộ  thu hồi GPMB nhanh'!$H$10:$H$20002,'8. D.kiến thu,chi GPMB nhanh'!$I11,'6. DS hộ  thu hồi GPMB nhanh'!$C$10:$C$20002,'8. D.kiến thu,chi GPMB nhanh'!$C11,'6. DS hộ  thu hồi GPMB nhanh'!$D$10:$D$20002,'8. D.kiến thu,chi GPMB nhanh'!$D11,'6. DS hộ  thu hồi GPMB nhanh'!$B$10:$B$20002,'8. D.kiến thu,chi GPMB nhanh'!$B11,'6. DS hộ  thu hồi GPMB nhanh'!$M$10:$M$20002,"Thu hồi")</f>
        <v>0</v>
      </c>
      <c r="O11" s="125">
        <f t="shared" si="0"/>
        <v>40000000</v>
      </c>
      <c r="P11" s="124">
        <v>15000000</v>
      </c>
      <c r="Q11" s="98">
        <f>SUMIFS('9. Thu, chi PABT'!$T$11:$T$20001,'9. Thu, chi PABT'!$J$11:$J$20001,'8. D.kiến thu,chi GPMB nhanh'!$F11,'9. Thu, chi PABT'!$K$11:$K$20001,'8. D.kiến thu,chi GPMB nhanh'!$G11,'9. Thu, chi PABT'!$L$11:$L$20001,'8. D.kiến thu,chi GPMB nhanh'!$H11,'9. Thu, chi PABT'!$M$11:$M$20001,'8. D.kiến thu,chi GPMB nhanh'!$I11,'9. Thu, chi PABT'!$B$11:$B$20001,'8. D.kiến thu,chi GPMB nhanh'!$C11,'9. Thu, chi PABT'!$F$11:$F$20001,'8. D.kiến thu,chi GPMB nhanh'!$D11,'9. Thu, chi PABT'!$R$11:$R$20001,"="&amp;'8. D.kiến thu,chi GPMB nhanh'!$B11)</f>
        <v>15000000</v>
      </c>
      <c r="R11" s="98">
        <f>SUMIFS('9. Thu, chi PABT'!$U$11:$U$20001,'9. Thu, chi PABT'!$J$11:$J$20001,'8. D.kiến thu,chi GPMB nhanh'!$F11,'9. Thu, chi PABT'!$K$11:$K$20001,'8. D.kiến thu,chi GPMB nhanh'!$G11,'9. Thu, chi PABT'!$L$11:$L$20001,'8. D.kiến thu,chi GPMB nhanh'!$H11,'9. Thu, chi PABT'!$M$11:$M$20001,'8. D.kiến thu,chi GPMB nhanh'!$I11,'9. Thu, chi PABT'!$B$11:$B$20001,'8. D.kiến thu,chi GPMB nhanh'!$C11,'9. Thu, chi PABT'!$F$11:$F$20001,'8. D.kiến thu,chi GPMB nhanh'!$D11,'9. Thu, chi PABT'!$R$11:$R$20001,'8. D.kiến thu,chi GPMB nhanh'!$B11)</f>
        <v>0</v>
      </c>
      <c r="S11" s="41">
        <f t="shared" si="1"/>
        <v>25000000</v>
      </c>
    </row>
    <row r="12" spans="1:19" x14ac:dyDescent="0.25">
      <c r="A12" s="7"/>
      <c r="B12" s="67">
        <v>45363</v>
      </c>
      <c r="C12" s="8">
        <v>120</v>
      </c>
      <c r="D12" s="8">
        <v>220</v>
      </c>
      <c r="E12" s="8"/>
      <c r="F12" s="8" t="s">
        <v>110</v>
      </c>
      <c r="G12" s="8" t="s">
        <v>152</v>
      </c>
      <c r="H12" s="8" t="s">
        <v>112</v>
      </c>
      <c r="I12" s="8" t="s">
        <v>114</v>
      </c>
      <c r="J12" s="98">
        <f>SUMIFS('4. C.Tiết P.Án B.Thường'!$O$11:$O$20001,'4. C.Tiết P.Án B.Thường'!$J$11:$J$20001,'8. D.kiến thu,chi GPMB nhanh'!$F12,'4. C.Tiết P.Án B.Thường'!$K$11:$K$20001,'8. D.kiến thu,chi GPMB nhanh'!$G12,'4. C.Tiết P.Án B.Thường'!$L$11:$L$20001,'8. D.kiến thu,chi GPMB nhanh'!$H12,'4. C.Tiết P.Án B.Thường'!$M$11:$M$20001,'8. D.kiến thu,chi GPMB nhanh'!$I12,'4. C.Tiết P.Án B.Thường'!$B$11:$B$20001,'8. D.kiến thu,chi GPMB nhanh'!$C12,'4. C.Tiết P.Án B.Thường'!$F$11:$F$20001,'8. D.kiến thu,chi GPMB nhanh'!$D12,'4. C.Tiết P.Án B.Thường'!$F$11:$F$20001,"&lt;&gt;"&amp;"Tạm ứng",'4. C.Tiết P.Án B.Thường'!$H$11:$H$20001,"",'4. C.Tiết P.Án B.Thường'!$G$11:$G$20001,"&lt;="&amp;'8. D.kiến thu,chi GPMB nhanh'!$B12)+SUMIFS('4. C.Tiết P.Án B.Thường'!$O$11:$O$20001,'4. C.Tiết P.Án B.Thường'!$J$11:$J$20001,'8. D.kiến thu,chi GPMB nhanh'!$F12,'4. C.Tiết P.Án B.Thường'!$K$11:$K$20001,'8. D.kiến thu,chi GPMB nhanh'!$G12,'4. C.Tiết P.Án B.Thường'!$L$11:$L$20001,'8. D.kiến thu,chi GPMB nhanh'!$H12,'4. C.Tiết P.Án B.Thường'!$M$11:$M$20001,'8. D.kiến thu,chi GPMB nhanh'!$I12,'4. C.Tiết P.Án B.Thường'!$B$11:$B$20001,'8. D.kiến thu,chi GPMB nhanh'!$C12,'4. C.Tiết P.Án B.Thường'!$H$11:$H$20001,"&lt;&gt;"&amp;"Tạm ứng",'4. C.Tiết P.Án B.Thường'!$H$11:$H$20001,"&lt;&gt;"&amp;"",'4. C.Tiết P.Án B.Thường'!$I$11:$I$20001,"&lt;="&amp;'8. D.kiến thu,chi GPMB nhanh'!$B12)</f>
        <v>40000000</v>
      </c>
      <c r="K12" s="98">
        <f>SUMIFS('9. Thu, chi PABT'!$T$11:$T$20001,'9. Thu, chi PABT'!$J$11:$J$20001,'8. D.kiến thu,chi GPMB nhanh'!$F12,'9. Thu, chi PABT'!$K$11:$K$20001,'8. D.kiến thu,chi GPMB nhanh'!$G12,'9. Thu, chi PABT'!$L$11:$L$20001,'8. D.kiến thu,chi GPMB nhanh'!$H12,'9. Thu, chi PABT'!$M$11:$M$20001,'8. D.kiến thu,chi GPMB nhanh'!$I12,'9. Thu, chi PABT'!$B$11:$B$20001,'8. D.kiến thu,chi GPMB nhanh'!$C12,'9. Thu, chi PABT'!$F$11:$F$20001,"Tạm ứng",'9. Thu, chi PABT'!$R$11:$R$20001,"&lt;"&amp;'8. D.kiến thu,chi GPMB nhanh'!$B12)+SUMIFS('9. Thu, chi PABT'!$T$11:$T$20001,'9. Thu, chi PABT'!$J$11:$J$20001,'8. D.kiến thu,chi GPMB nhanh'!$F12,'9. Thu, chi PABT'!$K$11:$K$20001,'8. D.kiến thu,chi GPMB nhanh'!$G12,'9. Thu, chi PABT'!$L$11:$L$20001,'8. D.kiến thu,chi GPMB nhanh'!$H12,'9. Thu, chi PABT'!$M$11:$M$20001,'8. D.kiến thu,chi GPMB nhanh'!$I12,'9. Thu, chi PABT'!$B$11:$B$20001,'8. D.kiến thu,chi GPMB nhanh'!$C12,'9. Thu, chi PABT'!$F$11:$F$20001,'8. D.kiến thu,chi GPMB nhanh'!$D12,'9. Thu, chi PABT'!$H$11:$H$20001,"Tạm ứng",'9. Thu, chi PABT'!$R$11:$R$20001,"&lt;"&amp;'8. D.kiến thu,chi GPMB nhanh'!$B12)</f>
        <v>0</v>
      </c>
      <c r="L12" s="98">
        <f>SUMIFS('9. Thu, chi PABT'!$T$11:$T$20001,'9. Thu, chi PABT'!$J$11:$J$20001,'8. D.kiến thu,chi GPMB nhanh'!$F12,'9. Thu, chi PABT'!$K$11:$K$20001,'8. D.kiến thu,chi GPMB nhanh'!$G12,'9. Thu, chi PABT'!$L$11:$L$20001,'8. D.kiến thu,chi GPMB nhanh'!$H12,'9. Thu, chi PABT'!$M$11:$M$20001,'8. D.kiến thu,chi GPMB nhanh'!$I12,'9. Thu, chi PABT'!$B$11:$B$20001,'8. D.kiến thu,chi GPMB nhanh'!$C12,'9. Thu, chi PABT'!$F$11:$F$20001,'8. D.kiến thu,chi GPMB nhanh'!$D12,'9. Thu, chi PABT'!$F$11:$F$20001,"&lt;&gt;"&amp;"Tạm ứng",'9. Thu, chi PABT'!$F$11:$F$20001,"&lt;&gt;"&amp;"",'9. Thu, chi PABT'!$R$11:$R$20001,"&lt;"&amp;'8. D.kiến thu,chi GPMB nhanh'!$B12)-SUMIFS('9. Thu, chi PABT'!$U$11:$U$20001,'9. Thu, chi PABT'!$J$11:$J$20001,'8. D.kiến thu,chi GPMB nhanh'!$F12,'9. Thu, chi PABT'!$K$11:$K$20001,'8. D.kiến thu,chi GPMB nhanh'!$G12,'9. Thu, chi PABT'!$L$11:$L$20001,'8. D.kiến thu,chi GPMB nhanh'!$H12,'9. Thu, chi PABT'!$M$11:$M$20001,'8. D.kiến thu,chi GPMB nhanh'!$I12,'9. Thu, chi PABT'!$B$11:$B$20001,'8. D.kiến thu,chi GPMB nhanh'!$C12,'9. Thu, chi PABT'!$F$11:$F$20001,'8. D.kiến thu,chi GPMB nhanh'!$D12,'9. Thu, chi PABT'!$R$11:$R$20001,"&lt;"&amp;'8. D.kiến thu,chi GPMB nhanh'!$B12)</f>
        <v>15000000</v>
      </c>
      <c r="M12" s="98">
        <f>SUMIFS('6. DS hộ  thu hồi GPMB nhanh'!$I$10:$I$20001,'6. DS hộ  thu hồi GPMB nhanh'!$E$10:$E$20001,'8. D.kiến thu,chi GPMB nhanh'!$F12,'6. DS hộ  thu hồi GPMB nhanh'!$F$10:$F$20001,'8. D.kiến thu,chi GPMB nhanh'!$G12,'6. DS hộ  thu hồi GPMB nhanh'!$G$10:$G$20001,'8. D.kiến thu,chi GPMB nhanh'!$H12,'6. DS hộ  thu hồi GPMB nhanh'!$H$10:$H$20001,'8. D.kiến thu,chi GPMB nhanh'!$I12,'6. DS hộ  thu hồi GPMB nhanh'!$M$10:$M$20001,"Thu hồi",'6. DS hộ  thu hồi GPMB nhanh'!$C$10:$C$20001,'8. D.kiến thu,chi GPMB nhanh'!$C12,'6. DS hộ  thu hồi GPMB nhanh'!$D$10:$D$20001,'8. D.kiến thu,chi GPMB nhanh'!$D12,'6. DS hộ  thu hồi GPMB nhanh'!$B$10:$B$20001,'8. D.kiến thu,chi GPMB nhanh'!$B12)</f>
        <v>0</v>
      </c>
      <c r="N12" s="98">
        <f>SUMIFS('6. DS hộ  thu hồi GPMB nhanh'!$J$10:$J$20002,'6. DS hộ  thu hồi GPMB nhanh'!$E$10:$E$20002,'8. D.kiến thu,chi GPMB nhanh'!$F12,'6. DS hộ  thu hồi GPMB nhanh'!$F$10:$F$20002,'8. D.kiến thu,chi GPMB nhanh'!$G12,'6. DS hộ  thu hồi GPMB nhanh'!$G$10:$G$20002,'8. D.kiến thu,chi GPMB nhanh'!$H12,'6. DS hộ  thu hồi GPMB nhanh'!$H$10:$H$20002,'8. D.kiến thu,chi GPMB nhanh'!$I12,'6. DS hộ  thu hồi GPMB nhanh'!$C$10:$C$20002,'8. D.kiến thu,chi GPMB nhanh'!$C12,'6. DS hộ  thu hồi GPMB nhanh'!$D$10:$D$20002,'8. D.kiến thu,chi GPMB nhanh'!$D12,'6. DS hộ  thu hồi GPMB nhanh'!$B$10:$B$20002,'8. D.kiến thu,chi GPMB nhanh'!$B12,'6. DS hộ  thu hồi GPMB nhanh'!$M$10:$M$20002,"Thu hồi")</f>
        <v>0</v>
      </c>
      <c r="O12" s="125">
        <f t="shared" si="0"/>
        <v>25000000</v>
      </c>
      <c r="P12" s="124">
        <v>25000000</v>
      </c>
      <c r="Q12" s="98">
        <f>SUMIFS('9. Thu, chi PABT'!$T$11:$T$20001,'9. Thu, chi PABT'!$J$11:$J$20001,'8. D.kiến thu,chi GPMB nhanh'!$F12,'9. Thu, chi PABT'!$K$11:$K$20001,'8. D.kiến thu,chi GPMB nhanh'!$G12,'9. Thu, chi PABT'!$L$11:$L$20001,'8. D.kiến thu,chi GPMB nhanh'!$H12,'9. Thu, chi PABT'!$M$11:$M$20001,'8. D.kiến thu,chi GPMB nhanh'!$I12,'9. Thu, chi PABT'!$B$11:$B$20001,'8. D.kiến thu,chi GPMB nhanh'!$C12,'9. Thu, chi PABT'!$F$11:$F$20001,'8. D.kiến thu,chi GPMB nhanh'!$D12,'9. Thu, chi PABT'!$R$11:$R$20001,"="&amp;'8. D.kiến thu,chi GPMB nhanh'!$B12)</f>
        <v>25000000</v>
      </c>
      <c r="R12" s="98">
        <f>SUMIFS('9. Thu, chi PABT'!$U$11:$U$20001,'9. Thu, chi PABT'!$J$11:$J$20001,'8. D.kiến thu,chi GPMB nhanh'!$F12,'9. Thu, chi PABT'!$K$11:$K$20001,'8. D.kiến thu,chi GPMB nhanh'!$G12,'9. Thu, chi PABT'!$L$11:$L$20001,'8. D.kiến thu,chi GPMB nhanh'!$H12,'9. Thu, chi PABT'!$M$11:$M$20001,'8. D.kiến thu,chi GPMB nhanh'!$I12,'9. Thu, chi PABT'!$B$11:$B$20001,'8. D.kiến thu,chi GPMB nhanh'!$C12,'9. Thu, chi PABT'!$F$11:$F$20001,'8. D.kiến thu,chi GPMB nhanh'!$D12,'9. Thu, chi PABT'!$R$11:$R$20001,'8. D.kiến thu,chi GPMB nhanh'!$B12)</f>
        <v>0</v>
      </c>
      <c r="S12" s="41">
        <f t="shared" si="1"/>
        <v>0</v>
      </c>
    </row>
    <row r="13" spans="1:19" x14ac:dyDescent="0.25">
      <c r="A13" s="7"/>
      <c r="B13" s="67">
        <v>45367</v>
      </c>
      <c r="C13" s="8">
        <v>120</v>
      </c>
      <c r="D13" s="8">
        <v>220</v>
      </c>
      <c r="E13" s="8">
        <v>221</v>
      </c>
      <c r="F13" s="8" t="s">
        <v>110</v>
      </c>
      <c r="G13" s="8" t="s">
        <v>152</v>
      </c>
      <c r="H13" s="8" t="s">
        <v>112</v>
      </c>
      <c r="I13" s="8" t="s">
        <v>114</v>
      </c>
      <c r="J13" s="98">
        <f>SUMIFS('4. C.Tiết P.Án B.Thường'!$O$11:$O$20001,'4. C.Tiết P.Án B.Thường'!$J$11:$J$20001,'8. D.kiến thu,chi GPMB nhanh'!$F13,'4. C.Tiết P.Án B.Thường'!$K$11:$K$20001,'8. D.kiến thu,chi GPMB nhanh'!$G13,'4. C.Tiết P.Án B.Thường'!$L$11:$L$20001,'8. D.kiến thu,chi GPMB nhanh'!$H13,'4. C.Tiết P.Án B.Thường'!$M$11:$M$20001,'8. D.kiến thu,chi GPMB nhanh'!$I13,'4. C.Tiết P.Án B.Thường'!$B$11:$B$20001,'8. D.kiến thu,chi GPMB nhanh'!$C13,'4. C.Tiết P.Án B.Thường'!$F$11:$F$20001,'8. D.kiến thu,chi GPMB nhanh'!$D13,'4. C.Tiết P.Án B.Thường'!$F$11:$F$20001,"&lt;&gt;"&amp;"Tạm ứng",'4. C.Tiết P.Án B.Thường'!$H$11:$H$20001,"",'4. C.Tiết P.Án B.Thường'!$G$11:$G$20001,"&lt;="&amp;'8. D.kiến thu,chi GPMB nhanh'!$B13)+SUMIFS('4. C.Tiết P.Án B.Thường'!$O$11:$O$20001,'4. C.Tiết P.Án B.Thường'!$J$11:$J$20001,'8. D.kiến thu,chi GPMB nhanh'!$F13,'4. C.Tiết P.Án B.Thường'!$K$11:$K$20001,'8. D.kiến thu,chi GPMB nhanh'!$G13,'4. C.Tiết P.Án B.Thường'!$L$11:$L$20001,'8. D.kiến thu,chi GPMB nhanh'!$H13,'4. C.Tiết P.Án B.Thường'!$M$11:$M$20001,'8. D.kiến thu,chi GPMB nhanh'!$I13,'4. C.Tiết P.Án B.Thường'!$B$11:$B$20001,'8. D.kiến thu,chi GPMB nhanh'!$C13,'4. C.Tiết P.Án B.Thường'!$H$11:$H$20001,"&lt;&gt;"&amp;"Tạm ứng",'4. C.Tiết P.Án B.Thường'!$H$11:$H$20001,"&lt;&gt;"&amp;"",'4. C.Tiết P.Án B.Thường'!$I$11:$I$20001,"&lt;="&amp;'8. D.kiến thu,chi GPMB nhanh'!$B13)</f>
        <v>90000000</v>
      </c>
      <c r="K13" s="98">
        <f>SUMIFS('9. Thu, chi PABT'!$T$11:$T$20001,'9. Thu, chi PABT'!$J$11:$J$20001,'8. D.kiến thu,chi GPMB nhanh'!$F13,'9. Thu, chi PABT'!$K$11:$K$20001,'8. D.kiến thu,chi GPMB nhanh'!$G13,'9. Thu, chi PABT'!$L$11:$L$20001,'8. D.kiến thu,chi GPMB nhanh'!$H13,'9. Thu, chi PABT'!$M$11:$M$20001,'8. D.kiến thu,chi GPMB nhanh'!$I13,'9. Thu, chi PABT'!$B$11:$B$20001,'8. D.kiến thu,chi GPMB nhanh'!$C13,'9. Thu, chi PABT'!$F$11:$F$20001,"Tạm ứng",'9. Thu, chi PABT'!$R$11:$R$20001,"&lt;"&amp;'8. D.kiến thu,chi GPMB nhanh'!$B13)+SUMIFS('9. Thu, chi PABT'!$T$11:$T$20001,'9. Thu, chi PABT'!$J$11:$J$20001,'8. D.kiến thu,chi GPMB nhanh'!$F13,'9. Thu, chi PABT'!$K$11:$K$20001,'8. D.kiến thu,chi GPMB nhanh'!$G13,'9. Thu, chi PABT'!$L$11:$L$20001,'8. D.kiến thu,chi GPMB nhanh'!$H13,'9. Thu, chi PABT'!$M$11:$M$20001,'8. D.kiến thu,chi GPMB nhanh'!$I13,'9. Thu, chi PABT'!$B$11:$B$20001,'8. D.kiến thu,chi GPMB nhanh'!$C13,'9. Thu, chi PABT'!$F$11:$F$20001,'8. D.kiến thu,chi GPMB nhanh'!$D13,'9. Thu, chi PABT'!$H$11:$H$20001,"Tạm ứng",'9. Thu, chi PABT'!$R$11:$R$20001,"&lt;"&amp;'8. D.kiến thu,chi GPMB nhanh'!$B13)</f>
        <v>0</v>
      </c>
      <c r="L13" s="98">
        <f>SUMIFS('9. Thu, chi PABT'!$T$11:$T$20001,'9. Thu, chi PABT'!$J$11:$J$20001,'8. D.kiến thu,chi GPMB nhanh'!$F13,'9. Thu, chi PABT'!$K$11:$K$20001,'8. D.kiến thu,chi GPMB nhanh'!$G13,'9. Thu, chi PABT'!$L$11:$L$20001,'8. D.kiến thu,chi GPMB nhanh'!$H13,'9. Thu, chi PABT'!$M$11:$M$20001,'8. D.kiến thu,chi GPMB nhanh'!$I13,'9. Thu, chi PABT'!$B$11:$B$20001,'8. D.kiến thu,chi GPMB nhanh'!$C13,'9. Thu, chi PABT'!$F$11:$F$20001,'8. D.kiến thu,chi GPMB nhanh'!$D13,'9. Thu, chi PABT'!$F$11:$F$20001,"&lt;&gt;"&amp;"Tạm ứng",'9. Thu, chi PABT'!$F$11:$F$20001,"&lt;&gt;"&amp;"",'9. Thu, chi PABT'!$R$11:$R$20001,"&lt;"&amp;'8. D.kiến thu,chi GPMB nhanh'!$B13)-SUMIFS('9. Thu, chi PABT'!$U$11:$U$20001,'9. Thu, chi PABT'!$J$11:$J$20001,'8. D.kiến thu,chi GPMB nhanh'!$F13,'9. Thu, chi PABT'!$K$11:$K$20001,'8. D.kiến thu,chi GPMB nhanh'!$G13,'9. Thu, chi PABT'!$L$11:$L$20001,'8. D.kiến thu,chi GPMB nhanh'!$H13,'9. Thu, chi PABT'!$M$11:$M$20001,'8. D.kiến thu,chi GPMB nhanh'!$I13,'9. Thu, chi PABT'!$B$11:$B$20001,'8. D.kiến thu,chi GPMB nhanh'!$C13,'9. Thu, chi PABT'!$F$11:$F$20001,'8. D.kiến thu,chi GPMB nhanh'!$D13,'9. Thu, chi PABT'!$R$11:$R$20001,"&lt;"&amp;'8. D.kiến thu,chi GPMB nhanh'!$B13)</f>
        <v>40000000</v>
      </c>
      <c r="M13" s="98">
        <f>SUMIFS('6. DS hộ  thu hồi GPMB nhanh'!$I$10:$I$20001,'6. DS hộ  thu hồi GPMB nhanh'!$E$10:$E$20001,'8. D.kiến thu,chi GPMB nhanh'!$F13,'6. DS hộ  thu hồi GPMB nhanh'!$F$10:$F$20001,'8. D.kiến thu,chi GPMB nhanh'!$G13,'6. DS hộ  thu hồi GPMB nhanh'!$G$10:$G$20001,'8. D.kiến thu,chi GPMB nhanh'!$H13,'6. DS hộ  thu hồi GPMB nhanh'!$H$10:$H$20001,'8. D.kiến thu,chi GPMB nhanh'!$I13,'6. DS hộ  thu hồi GPMB nhanh'!$M$10:$M$20001,"Thu hồi",'6. DS hộ  thu hồi GPMB nhanh'!$C$10:$C$20001,'8. D.kiến thu,chi GPMB nhanh'!$C13,'6. DS hộ  thu hồi GPMB nhanh'!$D$10:$D$20001,'8. D.kiến thu,chi GPMB nhanh'!$D13,'6. DS hộ  thu hồi GPMB nhanh'!$B$10:$B$20001,'8. D.kiến thu,chi GPMB nhanh'!$B13)</f>
        <v>0</v>
      </c>
      <c r="N13" s="98">
        <f>SUMIFS('6. DS hộ  thu hồi GPMB nhanh'!$J$10:$J$20002,'6. DS hộ  thu hồi GPMB nhanh'!$E$10:$E$20002,'8. D.kiến thu,chi GPMB nhanh'!$F13,'6. DS hộ  thu hồi GPMB nhanh'!$F$10:$F$20002,'8. D.kiến thu,chi GPMB nhanh'!$G13,'6. DS hộ  thu hồi GPMB nhanh'!$G$10:$G$20002,'8. D.kiến thu,chi GPMB nhanh'!$H13,'6. DS hộ  thu hồi GPMB nhanh'!$H$10:$H$20002,'8. D.kiến thu,chi GPMB nhanh'!$I13,'6. DS hộ  thu hồi GPMB nhanh'!$C$10:$C$20002,'8. D.kiến thu,chi GPMB nhanh'!$C13,'6. DS hộ  thu hồi GPMB nhanh'!$D$10:$D$20002,'8. D.kiến thu,chi GPMB nhanh'!$D13,'6. DS hộ  thu hồi GPMB nhanh'!$B$10:$B$20002,'8. D.kiến thu,chi GPMB nhanh'!$B13,'6. DS hộ  thu hồi GPMB nhanh'!$M$10:$M$20002,"Thu hồi")</f>
        <v>0</v>
      </c>
      <c r="O13" s="125">
        <f t="shared" si="0"/>
        <v>50000000</v>
      </c>
      <c r="P13" s="124">
        <v>50000000</v>
      </c>
      <c r="Q13" s="98">
        <f>SUMIFS('9. Thu, chi PABT'!$T$11:$T$20001,'9. Thu, chi PABT'!$J$11:$J$20001,'8. D.kiến thu,chi GPMB nhanh'!$F13,'9. Thu, chi PABT'!$K$11:$K$20001,'8. D.kiến thu,chi GPMB nhanh'!$G13,'9. Thu, chi PABT'!$L$11:$L$20001,'8. D.kiến thu,chi GPMB nhanh'!$H13,'9. Thu, chi PABT'!$M$11:$M$20001,'8. D.kiến thu,chi GPMB nhanh'!$I13,'9. Thu, chi PABT'!$B$11:$B$20001,'8. D.kiến thu,chi GPMB nhanh'!$C13,'9. Thu, chi PABT'!$F$11:$F$20001,'8. D.kiến thu,chi GPMB nhanh'!$D13,'9. Thu, chi PABT'!$R$11:$R$20001,"="&amp;'8. D.kiến thu,chi GPMB nhanh'!$B13)</f>
        <v>50000000</v>
      </c>
      <c r="R13" s="98">
        <f>SUMIFS('9. Thu, chi PABT'!$U$11:$U$20001,'9. Thu, chi PABT'!$J$11:$J$20001,'8. D.kiến thu,chi GPMB nhanh'!$F13,'9. Thu, chi PABT'!$K$11:$K$20001,'8. D.kiến thu,chi GPMB nhanh'!$G13,'9. Thu, chi PABT'!$L$11:$L$20001,'8. D.kiến thu,chi GPMB nhanh'!$H13,'9. Thu, chi PABT'!$M$11:$M$20001,'8. D.kiến thu,chi GPMB nhanh'!$I13,'9. Thu, chi PABT'!$B$11:$B$20001,'8. D.kiến thu,chi GPMB nhanh'!$C13,'9. Thu, chi PABT'!$F$11:$F$20001,'8. D.kiến thu,chi GPMB nhanh'!$D13,'9. Thu, chi PABT'!$R$11:$R$20001,'8. D.kiến thu,chi GPMB nhanh'!$B13)</f>
        <v>0</v>
      </c>
      <c r="S13" s="41">
        <f t="shared" si="1"/>
        <v>0</v>
      </c>
    </row>
    <row r="14" spans="1:19" x14ac:dyDescent="0.25">
      <c r="A14" s="7"/>
      <c r="B14" s="67">
        <v>45393</v>
      </c>
      <c r="C14" s="8">
        <v>130</v>
      </c>
      <c r="D14" s="8">
        <v>230</v>
      </c>
      <c r="E14" s="8"/>
      <c r="F14" s="8" t="s">
        <v>110</v>
      </c>
      <c r="G14" s="8" t="s">
        <v>152</v>
      </c>
      <c r="H14" s="8" t="s">
        <v>112</v>
      </c>
      <c r="I14" s="8" t="s">
        <v>114</v>
      </c>
      <c r="J14" s="98">
        <f>SUMIFS('4. C.Tiết P.Án B.Thường'!$O$11:$O$20001,'4. C.Tiết P.Án B.Thường'!$J$11:$J$20001,'8. D.kiến thu,chi GPMB nhanh'!$F14,'4. C.Tiết P.Án B.Thường'!$K$11:$K$20001,'8. D.kiến thu,chi GPMB nhanh'!$G14,'4. C.Tiết P.Án B.Thường'!$L$11:$L$20001,'8. D.kiến thu,chi GPMB nhanh'!$H14,'4. C.Tiết P.Án B.Thường'!$M$11:$M$20001,'8. D.kiến thu,chi GPMB nhanh'!$I14,'4. C.Tiết P.Án B.Thường'!$B$11:$B$20001,'8. D.kiến thu,chi GPMB nhanh'!$C14,'4. C.Tiết P.Án B.Thường'!$F$11:$F$20001,'8. D.kiến thu,chi GPMB nhanh'!$D14,'4. C.Tiết P.Án B.Thường'!$F$11:$F$20001,"&lt;&gt;"&amp;"Tạm ứng",'4. C.Tiết P.Án B.Thường'!$H$11:$H$20001,"",'4. C.Tiết P.Án B.Thường'!$G$11:$G$20001,"&lt;="&amp;'8. D.kiến thu,chi GPMB nhanh'!$B14)+SUMIFS('4. C.Tiết P.Án B.Thường'!$O$11:$O$20001,'4. C.Tiết P.Án B.Thường'!$J$11:$J$20001,'8. D.kiến thu,chi GPMB nhanh'!$F14,'4. C.Tiết P.Án B.Thường'!$K$11:$K$20001,'8. D.kiến thu,chi GPMB nhanh'!$G14,'4. C.Tiết P.Án B.Thường'!$L$11:$L$20001,'8. D.kiến thu,chi GPMB nhanh'!$H14,'4. C.Tiết P.Án B.Thường'!$M$11:$M$20001,'8. D.kiến thu,chi GPMB nhanh'!$I14,'4. C.Tiết P.Án B.Thường'!$B$11:$B$20001,'8. D.kiến thu,chi GPMB nhanh'!$C14,'4. C.Tiết P.Án B.Thường'!$H$11:$H$20001,"&lt;&gt;"&amp;"Tạm ứng",'4. C.Tiết P.Án B.Thường'!$H$11:$H$20001,"&lt;&gt;"&amp;"",'4. C.Tiết P.Án B.Thường'!$I$11:$I$20001,"&lt;="&amp;'8. D.kiến thu,chi GPMB nhanh'!$B14)</f>
        <v>60000000</v>
      </c>
      <c r="K14" s="98">
        <f>SUMIFS('9. Thu, chi PABT'!$T$11:$T$20001,'9. Thu, chi PABT'!$J$11:$J$20001,'8. D.kiến thu,chi GPMB nhanh'!$F14,'9. Thu, chi PABT'!$K$11:$K$20001,'8. D.kiến thu,chi GPMB nhanh'!$G14,'9. Thu, chi PABT'!$L$11:$L$20001,'8. D.kiến thu,chi GPMB nhanh'!$H14,'9. Thu, chi PABT'!$M$11:$M$20001,'8. D.kiến thu,chi GPMB nhanh'!$I14,'9. Thu, chi PABT'!$B$11:$B$20001,'8. D.kiến thu,chi GPMB nhanh'!$C14,'9. Thu, chi PABT'!$F$11:$F$20001,"Tạm ứng",'9. Thu, chi PABT'!$R$11:$R$20001,"&lt;"&amp;'8. D.kiến thu,chi GPMB nhanh'!$B14)+SUMIFS('9. Thu, chi PABT'!$T$11:$T$20001,'9. Thu, chi PABT'!$J$11:$J$20001,'8. D.kiến thu,chi GPMB nhanh'!$F14,'9. Thu, chi PABT'!$K$11:$K$20001,'8. D.kiến thu,chi GPMB nhanh'!$G14,'9. Thu, chi PABT'!$L$11:$L$20001,'8. D.kiến thu,chi GPMB nhanh'!$H14,'9. Thu, chi PABT'!$M$11:$M$20001,'8. D.kiến thu,chi GPMB nhanh'!$I14,'9. Thu, chi PABT'!$B$11:$B$20001,'8. D.kiến thu,chi GPMB nhanh'!$C14,'9. Thu, chi PABT'!$F$11:$F$20001,'8. D.kiến thu,chi GPMB nhanh'!$D14,'9. Thu, chi PABT'!$H$11:$H$20001,"Tạm ứng",'9. Thu, chi PABT'!$R$11:$R$20001,"&lt;"&amp;'8. D.kiến thu,chi GPMB nhanh'!$B14)</f>
        <v>0</v>
      </c>
      <c r="L14" s="98">
        <f>SUMIFS('9. Thu, chi PABT'!$T$11:$T$20001,'9. Thu, chi PABT'!$J$11:$J$20001,'8. D.kiến thu,chi GPMB nhanh'!$F14,'9. Thu, chi PABT'!$K$11:$K$20001,'8. D.kiến thu,chi GPMB nhanh'!$G14,'9. Thu, chi PABT'!$L$11:$L$20001,'8. D.kiến thu,chi GPMB nhanh'!$H14,'9. Thu, chi PABT'!$M$11:$M$20001,'8. D.kiến thu,chi GPMB nhanh'!$I14,'9. Thu, chi PABT'!$B$11:$B$20001,'8. D.kiến thu,chi GPMB nhanh'!$C14,'9. Thu, chi PABT'!$F$11:$F$20001,'8. D.kiến thu,chi GPMB nhanh'!$D14,'9. Thu, chi PABT'!$F$11:$F$20001,"&lt;&gt;"&amp;"Tạm ứng",'9. Thu, chi PABT'!$F$11:$F$20001,"&lt;&gt;"&amp;"",'9. Thu, chi PABT'!$R$11:$R$20001,"&lt;"&amp;'8. D.kiến thu,chi GPMB nhanh'!$B14)-SUMIFS('9. Thu, chi PABT'!$U$11:$U$20001,'9. Thu, chi PABT'!$J$11:$J$20001,'8. D.kiến thu,chi GPMB nhanh'!$F14,'9. Thu, chi PABT'!$K$11:$K$20001,'8. D.kiến thu,chi GPMB nhanh'!$G14,'9. Thu, chi PABT'!$L$11:$L$20001,'8. D.kiến thu,chi GPMB nhanh'!$H14,'9. Thu, chi PABT'!$M$11:$M$20001,'8. D.kiến thu,chi GPMB nhanh'!$I14,'9. Thu, chi PABT'!$B$11:$B$20001,'8. D.kiến thu,chi GPMB nhanh'!$C14,'9. Thu, chi PABT'!$F$11:$F$20001,'8. D.kiến thu,chi GPMB nhanh'!$D14,'9. Thu, chi PABT'!$R$11:$R$20001,"&lt;"&amp;'8. D.kiến thu,chi GPMB nhanh'!$B14)</f>
        <v>0</v>
      </c>
      <c r="M14" s="98">
        <f>SUMIFS('6. DS hộ  thu hồi GPMB nhanh'!$I$10:$I$20001,'6. DS hộ  thu hồi GPMB nhanh'!$E$10:$E$20001,'8. D.kiến thu,chi GPMB nhanh'!$F14,'6. DS hộ  thu hồi GPMB nhanh'!$F$10:$F$20001,'8. D.kiến thu,chi GPMB nhanh'!$G14,'6. DS hộ  thu hồi GPMB nhanh'!$G$10:$G$20001,'8. D.kiến thu,chi GPMB nhanh'!$H14,'6. DS hộ  thu hồi GPMB nhanh'!$H$10:$H$20001,'8. D.kiến thu,chi GPMB nhanh'!$I14,'6. DS hộ  thu hồi GPMB nhanh'!$M$10:$M$20001,"Thu hồi",'6. DS hộ  thu hồi GPMB nhanh'!$C$10:$C$20001,'8. D.kiến thu,chi GPMB nhanh'!$C14,'6. DS hộ  thu hồi GPMB nhanh'!$D$10:$D$20001,'8. D.kiến thu,chi GPMB nhanh'!$D14,'6. DS hộ  thu hồi GPMB nhanh'!$B$10:$B$20001,'8. D.kiến thu,chi GPMB nhanh'!$B14)</f>
        <v>0</v>
      </c>
      <c r="N14" s="98">
        <f>SUMIFS('6. DS hộ  thu hồi GPMB nhanh'!$J$10:$J$20002,'6. DS hộ  thu hồi GPMB nhanh'!$E$10:$E$20002,'8. D.kiến thu,chi GPMB nhanh'!$F14,'6. DS hộ  thu hồi GPMB nhanh'!$F$10:$F$20002,'8. D.kiến thu,chi GPMB nhanh'!$G14,'6. DS hộ  thu hồi GPMB nhanh'!$G$10:$G$20002,'8. D.kiến thu,chi GPMB nhanh'!$H14,'6. DS hộ  thu hồi GPMB nhanh'!$H$10:$H$20002,'8. D.kiến thu,chi GPMB nhanh'!$I14,'6. DS hộ  thu hồi GPMB nhanh'!$C$10:$C$20002,'8. D.kiến thu,chi GPMB nhanh'!$C14,'6. DS hộ  thu hồi GPMB nhanh'!$D$10:$D$20002,'8. D.kiến thu,chi GPMB nhanh'!$D14,'6. DS hộ  thu hồi GPMB nhanh'!$B$10:$B$20002,'8. D.kiến thu,chi GPMB nhanh'!$B14,'6. DS hộ  thu hồi GPMB nhanh'!$M$10:$M$20002,"Thu hồi")</f>
        <v>0</v>
      </c>
      <c r="O14" s="125">
        <f t="shared" si="0"/>
        <v>60000000</v>
      </c>
      <c r="P14" s="124">
        <v>60000000</v>
      </c>
      <c r="Q14" s="98">
        <f>SUMIFS('9. Thu, chi PABT'!$T$11:$T$20001,'9. Thu, chi PABT'!$J$11:$J$20001,'8. D.kiến thu,chi GPMB nhanh'!$F14,'9. Thu, chi PABT'!$K$11:$K$20001,'8. D.kiến thu,chi GPMB nhanh'!$G14,'9. Thu, chi PABT'!$L$11:$L$20001,'8. D.kiến thu,chi GPMB nhanh'!$H14,'9. Thu, chi PABT'!$M$11:$M$20001,'8. D.kiến thu,chi GPMB nhanh'!$I14,'9. Thu, chi PABT'!$B$11:$B$20001,'8. D.kiến thu,chi GPMB nhanh'!$C14,'9. Thu, chi PABT'!$F$11:$F$20001,'8. D.kiến thu,chi GPMB nhanh'!$D14,'9. Thu, chi PABT'!$R$11:$R$20001,"="&amp;'8. D.kiến thu,chi GPMB nhanh'!$B14)</f>
        <v>60000000</v>
      </c>
      <c r="R14" s="98">
        <f>SUMIFS('9. Thu, chi PABT'!$U$11:$U$20001,'9. Thu, chi PABT'!$J$11:$J$20001,'8. D.kiến thu,chi GPMB nhanh'!$F14,'9. Thu, chi PABT'!$K$11:$K$20001,'8. D.kiến thu,chi GPMB nhanh'!$G14,'9. Thu, chi PABT'!$L$11:$L$20001,'8. D.kiến thu,chi GPMB nhanh'!$H14,'9. Thu, chi PABT'!$M$11:$M$20001,'8. D.kiến thu,chi GPMB nhanh'!$I14,'9. Thu, chi PABT'!$B$11:$B$20001,'8. D.kiến thu,chi GPMB nhanh'!$C14,'9. Thu, chi PABT'!$F$11:$F$20001,'8. D.kiến thu,chi GPMB nhanh'!$D14,'9. Thu, chi PABT'!$R$11:$R$20001,'8. D.kiến thu,chi GPMB nhanh'!$B14)</f>
        <v>0</v>
      </c>
      <c r="S14" s="41">
        <f t="shared" si="1"/>
        <v>0</v>
      </c>
    </row>
    <row r="15" spans="1:19" x14ac:dyDescent="0.25">
      <c r="A15" s="7"/>
      <c r="B15" s="67">
        <v>45398</v>
      </c>
      <c r="C15" s="8">
        <v>130</v>
      </c>
      <c r="D15" s="8">
        <v>230</v>
      </c>
      <c r="E15" s="8">
        <v>231</v>
      </c>
      <c r="F15" s="8" t="s">
        <v>110</v>
      </c>
      <c r="G15" s="8" t="s">
        <v>152</v>
      </c>
      <c r="H15" s="8" t="s">
        <v>112</v>
      </c>
      <c r="I15" s="8" t="s">
        <v>114</v>
      </c>
      <c r="J15" s="98">
        <f>SUMIFS('4. C.Tiết P.Án B.Thường'!$O$11:$O$20001,'4. C.Tiết P.Án B.Thường'!$J$11:$J$20001,'8. D.kiến thu,chi GPMB nhanh'!$F15,'4. C.Tiết P.Án B.Thường'!$K$11:$K$20001,'8. D.kiến thu,chi GPMB nhanh'!$G15,'4. C.Tiết P.Án B.Thường'!$L$11:$L$20001,'8. D.kiến thu,chi GPMB nhanh'!$H15,'4. C.Tiết P.Án B.Thường'!$M$11:$M$20001,'8. D.kiến thu,chi GPMB nhanh'!$I15,'4. C.Tiết P.Án B.Thường'!$B$11:$B$20001,'8. D.kiến thu,chi GPMB nhanh'!$C15,'4. C.Tiết P.Án B.Thường'!$F$11:$F$20001,'8. D.kiến thu,chi GPMB nhanh'!$D15,'4. C.Tiết P.Án B.Thường'!$F$11:$F$20001,"&lt;&gt;"&amp;"Tạm ứng",'4. C.Tiết P.Án B.Thường'!$H$11:$H$20001,"",'4. C.Tiết P.Án B.Thường'!$G$11:$G$20001,"&lt;="&amp;'8. D.kiến thu,chi GPMB nhanh'!$B15)+SUMIFS('4. C.Tiết P.Án B.Thường'!$O$11:$O$20001,'4. C.Tiết P.Án B.Thường'!$J$11:$J$20001,'8. D.kiến thu,chi GPMB nhanh'!$F15,'4. C.Tiết P.Án B.Thường'!$K$11:$K$20001,'8. D.kiến thu,chi GPMB nhanh'!$G15,'4. C.Tiết P.Án B.Thường'!$L$11:$L$20001,'8. D.kiến thu,chi GPMB nhanh'!$H15,'4. C.Tiết P.Án B.Thường'!$M$11:$M$20001,'8. D.kiến thu,chi GPMB nhanh'!$I15,'4. C.Tiết P.Án B.Thường'!$B$11:$B$20001,'8. D.kiến thu,chi GPMB nhanh'!$C15,'4. C.Tiết P.Án B.Thường'!$H$11:$H$20001,"&lt;&gt;"&amp;"Tạm ứng",'4. C.Tiết P.Án B.Thường'!$H$11:$H$20001,"&lt;&gt;"&amp;"",'4. C.Tiết P.Án B.Thường'!$I$11:$I$20001,"&lt;="&amp;'8. D.kiến thu,chi GPMB nhanh'!$B15)</f>
        <v>130000000</v>
      </c>
      <c r="K15" s="98">
        <f>SUMIFS('9. Thu, chi PABT'!$T$11:$T$20001,'9. Thu, chi PABT'!$J$11:$J$20001,'8. D.kiến thu,chi GPMB nhanh'!$F15,'9. Thu, chi PABT'!$K$11:$K$20001,'8. D.kiến thu,chi GPMB nhanh'!$G15,'9. Thu, chi PABT'!$L$11:$L$20001,'8. D.kiến thu,chi GPMB nhanh'!$H15,'9. Thu, chi PABT'!$M$11:$M$20001,'8. D.kiến thu,chi GPMB nhanh'!$I15,'9. Thu, chi PABT'!$B$11:$B$20001,'8. D.kiến thu,chi GPMB nhanh'!$C15,'9. Thu, chi PABT'!$F$11:$F$20001,"Tạm ứng",'9. Thu, chi PABT'!$R$11:$R$20001,"&lt;"&amp;'8. D.kiến thu,chi GPMB nhanh'!$B15)+SUMIFS('9. Thu, chi PABT'!$T$11:$T$20001,'9. Thu, chi PABT'!$J$11:$J$20001,'8. D.kiến thu,chi GPMB nhanh'!$F15,'9. Thu, chi PABT'!$K$11:$K$20001,'8. D.kiến thu,chi GPMB nhanh'!$G15,'9. Thu, chi PABT'!$L$11:$L$20001,'8. D.kiến thu,chi GPMB nhanh'!$H15,'9. Thu, chi PABT'!$M$11:$M$20001,'8. D.kiến thu,chi GPMB nhanh'!$I15,'9. Thu, chi PABT'!$B$11:$B$20001,'8. D.kiến thu,chi GPMB nhanh'!$C15,'9. Thu, chi PABT'!$F$11:$F$20001,'8. D.kiến thu,chi GPMB nhanh'!$D15,'9. Thu, chi PABT'!$H$11:$H$20001,"Tạm ứng",'9. Thu, chi PABT'!$R$11:$R$20001,"&lt;"&amp;'8. D.kiến thu,chi GPMB nhanh'!$B15)</f>
        <v>0</v>
      </c>
      <c r="L15" s="98">
        <f>SUMIFS('9. Thu, chi PABT'!$T$11:$T$20001,'9. Thu, chi PABT'!$J$11:$J$20001,'8. D.kiến thu,chi GPMB nhanh'!$F15,'9. Thu, chi PABT'!$K$11:$K$20001,'8. D.kiến thu,chi GPMB nhanh'!$G15,'9. Thu, chi PABT'!$L$11:$L$20001,'8. D.kiến thu,chi GPMB nhanh'!$H15,'9. Thu, chi PABT'!$M$11:$M$20001,'8. D.kiến thu,chi GPMB nhanh'!$I15,'9. Thu, chi PABT'!$B$11:$B$20001,'8. D.kiến thu,chi GPMB nhanh'!$C15,'9. Thu, chi PABT'!$F$11:$F$20001,'8. D.kiến thu,chi GPMB nhanh'!$D15,'9. Thu, chi PABT'!$F$11:$F$20001,"&lt;&gt;"&amp;"Tạm ứng",'9. Thu, chi PABT'!$F$11:$F$20001,"&lt;&gt;"&amp;"",'9. Thu, chi PABT'!$R$11:$R$20001,"&lt;"&amp;'8. D.kiến thu,chi GPMB nhanh'!$B15)-SUMIFS('9. Thu, chi PABT'!$U$11:$U$20001,'9. Thu, chi PABT'!$J$11:$J$20001,'8. D.kiến thu,chi GPMB nhanh'!$F15,'9. Thu, chi PABT'!$K$11:$K$20001,'8. D.kiến thu,chi GPMB nhanh'!$G15,'9. Thu, chi PABT'!$L$11:$L$20001,'8. D.kiến thu,chi GPMB nhanh'!$H15,'9. Thu, chi PABT'!$M$11:$M$20001,'8. D.kiến thu,chi GPMB nhanh'!$I15,'9. Thu, chi PABT'!$B$11:$B$20001,'8. D.kiến thu,chi GPMB nhanh'!$C15,'9. Thu, chi PABT'!$F$11:$F$20001,'8. D.kiến thu,chi GPMB nhanh'!$D15,'9. Thu, chi PABT'!$R$11:$R$20001,"&lt;"&amp;'8. D.kiến thu,chi GPMB nhanh'!$B15)</f>
        <v>60000000</v>
      </c>
      <c r="M15" s="98">
        <f>SUMIFS('6. DS hộ  thu hồi GPMB nhanh'!$I$10:$I$20001,'6. DS hộ  thu hồi GPMB nhanh'!$E$10:$E$20001,'8. D.kiến thu,chi GPMB nhanh'!$F15,'6. DS hộ  thu hồi GPMB nhanh'!$F$10:$F$20001,'8. D.kiến thu,chi GPMB nhanh'!$G15,'6. DS hộ  thu hồi GPMB nhanh'!$G$10:$G$20001,'8. D.kiến thu,chi GPMB nhanh'!$H15,'6. DS hộ  thu hồi GPMB nhanh'!$H$10:$H$20001,'8. D.kiến thu,chi GPMB nhanh'!$I15,'6. DS hộ  thu hồi GPMB nhanh'!$M$10:$M$20001,"Thu hồi",'6. DS hộ  thu hồi GPMB nhanh'!$C$10:$C$20001,'8. D.kiến thu,chi GPMB nhanh'!$C15,'6. DS hộ  thu hồi GPMB nhanh'!$D$10:$D$20001,'8. D.kiến thu,chi GPMB nhanh'!$D15,'6. DS hộ  thu hồi GPMB nhanh'!$B$10:$B$20001,'8. D.kiến thu,chi GPMB nhanh'!$B15)</f>
        <v>0</v>
      </c>
      <c r="N15" s="98">
        <f>SUMIFS('6. DS hộ  thu hồi GPMB nhanh'!$J$10:$J$20002,'6. DS hộ  thu hồi GPMB nhanh'!$E$10:$E$20002,'8. D.kiến thu,chi GPMB nhanh'!$F15,'6. DS hộ  thu hồi GPMB nhanh'!$F$10:$F$20002,'8. D.kiến thu,chi GPMB nhanh'!$G15,'6. DS hộ  thu hồi GPMB nhanh'!$G$10:$G$20002,'8. D.kiến thu,chi GPMB nhanh'!$H15,'6. DS hộ  thu hồi GPMB nhanh'!$H$10:$H$20002,'8. D.kiến thu,chi GPMB nhanh'!$I15,'6. DS hộ  thu hồi GPMB nhanh'!$C$10:$C$20002,'8. D.kiến thu,chi GPMB nhanh'!$C15,'6. DS hộ  thu hồi GPMB nhanh'!$D$10:$D$20002,'8. D.kiến thu,chi GPMB nhanh'!$D15,'6. DS hộ  thu hồi GPMB nhanh'!$B$10:$B$20002,'8. D.kiến thu,chi GPMB nhanh'!$B15,'6. DS hộ  thu hồi GPMB nhanh'!$M$10:$M$20002,"Thu hồi")</f>
        <v>0</v>
      </c>
      <c r="O15" s="125">
        <f t="shared" si="0"/>
        <v>70000000</v>
      </c>
      <c r="P15" s="124">
        <v>70000000</v>
      </c>
      <c r="Q15" s="98">
        <f>SUMIFS('9. Thu, chi PABT'!$T$11:$T$20001,'9. Thu, chi PABT'!$J$11:$J$20001,'8. D.kiến thu,chi GPMB nhanh'!$F15,'9. Thu, chi PABT'!$K$11:$K$20001,'8. D.kiến thu,chi GPMB nhanh'!$G15,'9. Thu, chi PABT'!$L$11:$L$20001,'8. D.kiến thu,chi GPMB nhanh'!$H15,'9. Thu, chi PABT'!$M$11:$M$20001,'8. D.kiến thu,chi GPMB nhanh'!$I15,'9. Thu, chi PABT'!$B$11:$B$20001,'8. D.kiến thu,chi GPMB nhanh'!$C15,'9. Thu, chi PABT'!$F$11:$F$20001,'8. D.kiến thu,chi GPMB nhanh'!$D15,'9. Thu, chi PABT'!$R$11:$R$20001,"="&amp;'8. D.kiến thu,chi GPMB nhanh'!$B15)</f>
        <v>70000000</v>
      </c>
      <c r="R15" s="98">
        <f>SUMIFS('9. Thu, chi PABT'!$U$11:$U$20001,'9. Thu, chi PABT'!$J$11:$J$20001,'8. D.kiến thu,chi GPMB nhanh'!$F15,'9. Thu, chi PABT'!$K$11:$K$20001,'8. D.kiến thu,chi GPMB nhanh'!$G15,'9. Thu, chi PABT'!$L$11:$L$20001,'8. D.kiến thu,chi GPMB nhanh'!$H15,'9. Thu, chi PABT'!$M$11:$M$20001,'8. D.kiến thu,chi GPMB nhanh'!$I15,'9. Thu, chi PABT'!$B$11:$B$20001,'8. D.kiến thu,chi GPMB nhanh'!$C15,'9. Thu, chi PABT'!$F$11:$F$20001,'8. D.kiến thu,chi GPMB nhanh'!$D15,'9. Thu, chi PABT'!$R$11:$R$20001,'8. D.kiến thu,chi GPMB nhanh'!$B15)</f>
        <v>0</v>
      </c>
      <c r="S15" s="41">
        <f t="shared" si="1"/>
        <v>0</v>
      </c>
    </row>
    <row r="16" spans="1:19" x14ac:dyDescent="0.25">
      <c r="A16" s="7"/>
      <c r="B16" s="67">
        <v>45403</v>
      </c>
      <c r="C16" s="8">
        <v>130</v>
      </c>
      <c r="D16" s="8">
        <v>230</v>
      </c>
      <c r="E16" s="8" t="s">
        <v>136</v>
      </c>
      <c r="F16" s="8" t="s">
        <v>110</v>
      </c>
      <c r="G16" s="8" t="s">
        <v>152</v>
      </c>
      <c r="H16" s="8" t="s">
        <v>112</v>
      </c>
      <c r="I16" s="8" t="s">
        <v>114</v>
      </c>
      <c r="J16" s="98">
        <f>SUMIFS('4. C.Tiết P.Án B.Thường'!$O$11:$O$20001,'4. C.Tiết P.Án B.Thường'!$J$11:$J$20001,'8. D.kiến thu,chi GPMB nhanh'!$F16,'4. C.Tiết P.Án B.Thường'!$K$11:$K$20001,'8. D.kiến thu,chi GPMB nhanh'!$G16,'4. C.Tiết P.Án B.Thường'!$L$11:$L$20001,'8. D.kiến thu,chi GPMB nhanh'!$H16,'4. C.Tiết P.Án B.Thường'!$M$11:$M$20001,'8. D.kiến thu,chi GPMB nhanh'!$I16,'4. C.Tiết P.Án B.Thường'!$B$11:$B$20001,'8. D.kiến thu,chi GPMB nhanh'!$C16,'4. C.Tiết P.Án B.Thường'!$F$11:$F$20001,'8. D.kiến thu,chi GPMB nhanh'!$D16,'4. C.Tiết P.Án B.Thường'!$F$11:$F$20001,"&lt;&gt;"&amp;"Tạm ứng",'4. C.Tiết P.Án B.Thường'!$H$11:$H$20001,"",'4. C.Tiết P.Án B.Thường'!$G$11:$G$20001,"&lt;="&amp;'8. D.kiến thu,chi GPMB nhanh'!$B16)+SUMIFS('4. C.Tiết P.Án B.Thường'!$O$11:$O$20001,'4. C.Tiết P.Án B.Thường'!$J$11:$J$20001,'8. D.kiến thu,chi GPMB nhanh'!$F16,'4. C.Tiết P.Án B.Thường'!$K$11:$K$20001,'8. D.kiến thu,chi GPMB nhanh'!$G16,'4. C.Tiết P.Án B.Thường'!$L$11:$L$20001,'8. D.kiến thu,chi GPMB nhanh'!$H16,'4. C.Tiết P.Án B.Thường'!$M$11:$M$20001,'8. D.kiến thu,chi GPMB nhanh'!$I16,'4. C.Tiết P.Án B.Thường'!$B$11:$B$20001,'8. D.kiến thu,chi GPMB nhanh'!$C16,'4. C.Tiết P.Án B.Thường'!$H$11:$H$20001,"&lt;&gt;"&amp;"Tạm ứng",'4. C.Tiết P.Án B.Thường'!$H$11:$H$20001,"&lt;&gt;"&amp;"",'4. C.Tiết P.Án B.Thường'!$I$11:$I$20001,"&lt;="&amp;'8. D.kiến thu,chi GPMB nhanh'!$B16)</f>
        <v>130000000</v>
      </c>
      <c r="K16" s="98">
        <f>SUMIFS('9. Thu, chi PABT'!$T$11:$T$20001,'9. Thu, chi PABT'!$J$11:$J$20001,'8. D.kiến thu,chi GPMB nhanh'!$F16,'9. Thu, chi PABT'!$K$11:$K$20001,'8. D.kiến thu,chi GPMB nhanh'!$G16,'9. Thu, chi PABT'!$L$11:$L$20001,'8. D.kiến thu,chi GPMB nhanh'!$H16,'9. Thu, chi PABT'!$M$11:$M$20001,'8. D.kiến thu,chi GPMB nhanh'!$I16,'9. Thu, chi PABT'!$B$11:$B$20001,'8. D.kiến thu,chi GPMB nhanh'!$C16,'9. Thu, chi PABT'!$F$11:$F$20001,"Tạm ứng",'9. Thu, chi PABT'!$R$11:$R$20001,"&lt;"&amp;'8. D.kiến thu,chi GPMB nhanh'!$B16)+SUMIFS('9. Thu, chi PABT'!$T$11:$T$20001,'9. Thu, chi PABT'!$J$11:$J$20001,'8. D.kiến thu,chi GPMB nhanh'!$F16,'9. Thu, chi PABT'!$K$11:$K$20001,'8. D.kiến thu,chi GPMB nhanh'!$G16,'9. Thu, chi PABT'!$L$11:$L$20001,'8. D.kiến thu,chi GPMB nhanh'!$H16,'9. Thu, chi PABT'!$M$11:$M$20001,'8. D.kiến thu,chi GPMB nhanh'!$I16,'9. Thu, chi PABT'!$B$11:$B$20001,'8. D.kiến thu,chi GPMB nhanh'!$C16,'9. Thu, chi PABT'!$F$11:$F$20001,'8. D.kiến thu,chi GPMB nhanh'!$D16,'9. Thu, chi PABT'!$H$11:$H$20001,"Tạm ứng",'9. Thu, chi PABT'!$R$11:$R$20001,"&lt;"&amp;'8. D.kiến thu,chi GPMB nhanh'!$B16)</f>
        <v>0</v>
      </c>
      <c r="L16" s="98">
        <f>SUMIFS('9. Thu, chi PABT'!$T$11:$T$20001,'9. Thu, chi PABT'!$J$11:$J$20001,'8. D.kiến thu,chi GPMB nhanh'!$F16,'9. Thu, chi PABT'!$K$11:$K$20001,'8. D.kiến thu,chi GPMB nhanh'!$G16,'9. Thu, chi PABT'!$L$11:$L$20001,'8. D.kiến thu,chi GPMB nhanh'!$H16,'9. Thu, chi PABT'!$M$11:$M$20001,'8. D.kiến thu,chi GPMB nhanh'!$I16,'9. Thu, chi PABT'!$B$11:$B$20001,'8. D.kiến thu,chi GPMB nhanh'!$C16,'9. Thu, chi PABT'!$F$11:$F$20001,'8. D.kiến thu,chi GPMB nhanh'!$D16,'9. Thu, chi PABT'!$F$11:$F$20001,"&lt;&gt;"&amp;"Tạm ứng",'9. Thu, chi PABT'!$F$11:$F$20001,"&lt;&gt;"&amp;"",'9. Thu, chi PABT'!$R$11:$R$20001,"&lt;"&amp;'8. D.kiến thu,chi GPMB nhanh'!$B16)-SUMIFS('9. Thu, chi PABT'!$U$11:$U$20001,'9. Thu, chi PABT'!$J$11:$J$20001,'8. D.kiến thu,chi GPMB nhanh'!$F16,'9. Thu, chi PABT'!$K$11:$K$20001,'8. D.kiến thu,chi GPMB nhanh'!$G16,'9. Thu, chi PABT'!$L$11:$L$20001,'8. D.kiến thu,chi GPMB nhanh'!$H16,'9. Thu, chi PABT'!$M$11:$M$20001,'8. D.kiến thu,chi GPMB nhanh'!$I16,'9. Thu, chi PABT'!$B$11:$B$20001,'8. D.kiến thu,chi GPMB nhanh'!$C16,'9. Thu, chi PABT'!$F$11:$F$20001,'8. D.kiến thu,chi GPMB nhanh'!$D16,'9. Thu, chi PABT'!$R$11:$R$20001,"&lt;"&amp;'8. D.kiến thu,chi GPMB nhanh'!$B16)</f>
        <v>130000000</v>
      </c>
      <c r="M16" s="98">
        <f>SUMIFS('6. DS hộ  thu hồi GPMB nhanh'!$I$10:$I$20001,'6. DS hộ  thu hồi GPMB nhanh'!$E$10:$E$20001,'8. D.kiến thu,chi GPMB nhanh'!$F16,'6. DS hộ  thu hồi GPMB nhanh'!$F$10:$F$20001,'8. D.kiến thu,chi GPMB nhanh'!$G16,'6. DS hộ  thu hồi GPMB nhanh'!$G$10:$G$20001,'8. D.kiến thu,chi GPMB nhanh'!$H16,'6. DS hộ  thu hồi GPMB nhanh'!$H$10:$H$20001,'8. D.kiến thu,chi GPMB nhanh'!$I16,'6. DS hộ  thu hồi GPMB nhanh'!$M$10:$M$20001,"Thu hồi",'6. DS hộ  thu hồi GPMB nhanh'!$C$10:$C$20001,'8. D.kiến thu,chi GPMB nhanh'!$C16,'6. DS hộ  thu hồi GPMB nhanh'!$D$10:$D$20001,'8. D.kiến thu,chi GPMB nhanh'!$D16,'6. DS hộ  thu hồi GPMB nhanh'!$B$10:$B$20001,'8. D.kiến thu,chi GPMB nhanh'!$B16)</f>
        <v>0</v>
      </c>
      <c r="N16" s="98">
        <f>SUMIFS('6. DS hộ  thu hồi GPMB nhanh'!$J$10:$J$20002,'6. DS hộ  thu hồi GPMB nhanh'!$E$10:$E$20002,'8. D.kiến thu,chi GPMB nhanh'!$F16,'6. DS hộ  thu hồi GPMB nhanh'!$F$10:$F$20002,'8. D.kiến thu,chi GPMB nhanh'!$G16,'6. DS hộ  thu hồi GPMB nhanh'!$G$10:$G$20002,'8. D.kiến thu,chi GPMB nhanh'!$H16,'6. DS hộ  thu hồi GPMB nhanh'!$H$10:$H$20002,'8. D.kiến thu,chi GPMB nhanh'!$I16,'6. DS hộ  thu hồi GPMB nhanh'!$C$10:$C$20002,'8. D.kiến thu,chi GPMB nhanh'!$C16,'6. DS hộ  thu hồi GPMB nhanh'!$D$10:$D$20002,'8. D.kiến thu,chi GPMB nhanh'!$D16,'6. DS hộ  thu hồi GPMB nhanh'!$B$10:$B$20002,'8. D.kiến thu,chi GPMB nhanh'!$B16,'6. DS hộ  thu hồi GPMB nhanh'!$M$10:$M$20002,"Thu hồi")</f>
        <v>0</v>
      </c>
      <c r="O16" s="125">
        <f t="shared" si="0"/>
        <v>0</v>
      </c>
      <c r="P16" s="124">
        <v>80000000</v>
      </c>
      <c r="Q16" s="98">
        <f>SUMIFS('9. Thu, chi PABT'!$T$11:$T$20001,'9. Thu, chi PABT'!$J$11:$J$20001,'8. D.kiến thu,chi GPMB nhanh'!$F16,'9. Thu, chi PABT'!$K$11:$K$20001,'8. D.kiến thu,chi GPMB nhanh'!$G16,'9. Thu, chi PABT'!$L$11:$L$20001,'8. D.kiến thu,chi GPMB nhanh'!$H16,'9. Thu, chi PABT'!$M$11:$M$20001,'8. D.kiến thu,chi GPMB nhanh'!$I16,'9. Thu, chi PABT'!$B$11:$B$20001,'8. D.kiến thu,chi GPMB nhanh'!$C16,'9. Thu, chi PABT'!$F$11:$F$20001,'8. D.kiến thu,chi GPMB nhanh'!$D16,'9. Thu, chi PABT'!$R$11:$R$20001,"="&amp;'8. D.kiến thu,chi GPMB nhanh'!$B16)</f>
        <v>80000000</v>
      </c>
      <c r="R16" s="98">
        <f>SUMIFS('9. Thu, chi PABT'!$U$11:$U$20001,'9. Thu, chi PABT'!$J$11:$J$20001,'8. D.kiến thu,chi GPMB nhanh'!$F16,'9. Thu, chi PABT'!$K$11:$K$20001,'8. D.kiến thu,chi GPMB nhanh'!$G16,'9. Thu, chi PABT'!$L$11:$L$20001,'8. D.kiến thu,chi GPMB nhanh'!$H16,'9. Thu, chi PABT'!$M$11:$M$20001,'8. D.kiến thu,chi GPMB nhanh'!$I16,'9. Thu, chi PABT'!$B$11:$B$20001,'8. D.kiến thu,chi GPMB nhanh'!$C16,'9. Thu, chi PABT'!$F$11:$F$20001,'8. D.kiến thu,chi GPMB nhanh'!$D16,'9. Thu, chi PABT'!$R$11:$R$20001,'8. D.kiến thu,chi GPMB nhanh'!$B16)</f>
        <v>0</v>
      </c>
      <c r="S16" s="41">
        <f t="shared" si="1"/>
        <v>-80000000</v>
      </c>
    </row>
    <row r="17" spans="1:19" x14ac:dyDescent="0.25">
      <c r="A17" s="7"/>
      <c r="B17" s="67">
        <v>45407</v>
      </c>
      <c r="C17" s="8">
        <v>130</v>
      </c>
      <c r="D17" s="8">
        <v>230</v>
      </c>
      <c r="E17" s="8"/>
      <c r="F17" s="8" t="s">
        <v>110</v>
      </c>
      <c r="G17" s="8" t="s">
        <v>152</v>
      </c>
      <c r="H17" s="8" t="s">
        <v>112</v>
      </c>
      <c r="I17" s="8" t="s">
        <v>114</v>
      </c>
      <c r="J17" s="98">
        <f>SUMIFS('4. C.Tiết P.Án B.Thường'!$O$11:$O$20001,'4. C.Tiết P.Án B.Thường'!$J$11:$J$20001,'8. D.kiến thu,chi GPMB nhanh'!$F17,'4. C.Tiết P.Án B.Thường'!$K$11:$K$20001,'8. D.kiến thu,chi GPMB nhanh'!$G17,'4. C.Tiết P.Án B.Thường'!$L$11:$L$20001,'8. D.kiến thu,chi GPMB nhanh'!$H17,'4. C.Tiết P.Án B.Thường'!$M$11:$M$20001,'8. D.kiến thu,chi GPMB nhanh'!$I17,'4. C.Tiết P.Án B.Thường'!$B$11:$B$20001,'8. D.kiến thu,chi GPMB nhanh'!$C17,'4. C.Tiết P.Án B.Thường'!$F$11:$F$20001,'8. D.kiến thu,chi GPMB nhanh'!$D17,'4. C.Tiết P.Án B.Thường'!$F$11:$F$20001,"&lt;&gt;"&amp;"Tạm ứng",'4. C.Tiết P.Án B.Thường'!$H$11:$H$20001,"",'4. C.Tiết P.Án B.Thường'!$G$11:$G$20001,"&lt;="&amp;'8. D.kiến thu,chi GPMB nhanh'!$B17)+SUMIFS('4. C.Tiết P.Án B.Thường'!$O$11:$O$20001,'4. C.Tiết P.Án B.Thường'!$J$11:$J$20001,'8. D.kiến thu,chi GPMB nhanh'!$F17,'4. C.Tiết P.Án B.Thường'!$K$11:$K$20001,'8. D.kiến thu,chi GPMB nhanh'!$G17,'4. C.Tiết P.Án B.Thường'!$L$11:$L$20001,'8. D.kiến thu,chi GPMB nhanh'!$H17,'4. C.Tiết P.Án B.Thường'!$M$11:$M$20001,'8. D.kiến thu,chi GPMB nhanh'!$I17,'4. C.Tiết P.Án B.Thường'!$B$11:$B$20001,'8. D.kiến thu,chi GPMB nhanh'!$C17,'4. C.Tiết P.Án B.Thường'!$H$11:$H$20001,"&lt;&gt;"&amp;"Tạm ứng",'4. C.Tiết P.Án B.Thường'!$H$11:$H$20001,"&lt;&gt;"&amp;"",'4. C.Tiết P.Án B.Thường'!$I$11:$I$20001,"&lt;="&amp;'8. D.kiến thu,chi GPMB nhanh'!$B17)</f>
        <v>130000000</v>
      </c>
      <c r="K17" s="98">
        <f>SUMIFS('9. Thu, chi PABT'!$T$11:$T$20001,'9. Thu, chi PABT'!$J$11:$J$20001,'8. D.kiến thu,chi GPMB nhanh'!$F17,'9. Thu, chi PABT'!$K$11:$K$20001,'8. D.kiến thu,chi GPMB nhanh'!$G17,'9. Thu, chi PABT'!$L$11:$L$20001,'8. D.kiến thu,chi GPMB nhanh'!$H17,'9. Thu, chi PABT'!$M$11:$M$20001,'8. D.kiến thu,chi GPMB nhanh'!$I17,'9. Thu, chi PABT'!$B$11:$B$20001,'8. D.kiến thu,chi GPMB nhanh'!$C17,'9. Thu, chi PABT'!$F$11:$F$20001,"Tạm ứng",'9. Thu, chi PABT'!$R$11:$R$20001,"&lt;"&amp;'8. D.kiến thu,chi GPMB nhanh'!$B17)+SUMIFS('9. Thu, chi PABT'!$T$11:$T$20001,'9. Thu, chi PABT'!$J$11:$J$20001,'8. D.kiến thu,chi GPMB nhanh'!$F17,'9. Thu, chi PABT'!$K$11:$K$20001,'8. D.kiến thu,chi GPMB nhanh'!$G17,'9. Thu, chi PABT'!$L$11:$L$20001,'8. D.kiến thu,chi GPMB nhanh'!$H17,'9. Thu, chi PABT'!$M$11:$M$20001,'8. D.kiến thu,chi GPMB nhanh'!$I17,'9. Thu, chi PABT'!$B$11:$B$20001,'8. D.kiến thu,chi GPMB nhanh'!$C17,'9. Thu, chi PABT'!$F$11:$F$20001,'8. D.kiến thu,chi GPMB nhanh'!$D17,'9. Thu, chi PABT'!$H$11:$H$20001,"Tạm ứng",'9. Thu, chi PABT'!$R$11:$R$20001,"&lt;"&amp;'8. D.kiến thu,chi GPMB nhanh'!$B17)</f>
        <v>80000000</v>
      </c>
      <c r="L17" s="98">
        <f>SUMIFS('9. Thu, chi PABT'!$T$11:$T$20001,'9. Thu, chi PABT'!$J$11:$J$20001,'8. D.kiến thu,chi GPMB nhanh'!$F17,'9. Thu, chi PABT'!$K$11:$K$20001,'8. D.kiến thu,chi GPMB nhanh'!$G17,'9. Thu, chi PABT'!$L$11:$L$20001,'8. D.kiến thu,chi GPMB nhanh'!$H17,'9. Thu, chi PABT'!$M$11:$M$20001,'8. D.kiến thu,chi GPMB nhanh'!$I17,'9. Thu, chi PABT'!$B$11:$B$20001,'8. D.kiến thu,chi GPMB nhanh'!$C17,'9. Thu, chi PABT'!$F$11:$F$20001,'8. D.kiến thu,chi GPMB nhanh'!$D17,'9. Thu, chi PABT'!$F$11:$F$20001,"&lt;&gt;"&amp;"Tạm ứng",'9. Thu, chi PABT'!$F$11:$F$20001,"&lt;&gt;"&amp;"",'9. Thu, chi PABT'!$R$11:$R$20001,"&lt;"&amp;'8. D.kiến thu,chi GPMB nhanh'!$B17)-SUMIFS('9. Thu, chi PABT'!$U$11:$U$20001,'9. Thu, chi PABT'!$J$11:$J$20001,'8. D.kiến thu,chi GPMB nhanh'!$F17,'9. Thu, chi PABT'!$K$11:$K$20001,'8. D.kiến thu,chi GPMB nhanh'!$G17,'9. Thu, chi PABT'!$L$11:$L$20001,'8. D.kiến thu,chi GPMB nhanh'!$H17,'9. Thu, chi PABT'!$M$11:$M$20001,'8. D.kiến thu,chi GPMB nhanh'!$I17,'9. Thu, chi PABT'!$B$11:$B$20001,'8. D.kiến thu,chi GPMB nhanh'!$C17,'9. Thu, chi PABT'!$F$11:$F$20001,'8. D.kiến thu,chi GPMB nhanh'!$D17,'9. Thu, chi PABT'!$R$11:$R$20001,"&lt;"&amp;'8. D.kiến thu,chi GPMB nhanh'!$B17)</f>
        <v>210000000</v>
      </c>
      <c r="M17" s="98">
        <f>SUMIFS('6. DS hộ  thu hồi GPMB nhanh'!$I$10:$I$20001,'6. DS hộ  thu hồi GPMB nhanh'!$E$10:$E$20001,'8. D.kiến thu,chi GPMB nhanh'!$F17,'6. DS hộ  thu hồi GPMB nhanh'!$F$10:$F$20001,'8. D.kiến thu,chi GPMB nhanh'!$G17,'6. DS hộ  thu hồi GPMB nhanh'!$G$10:$G$20001,'8. D.kiến thu,chi GPMB nhanh'!$H17,'6. DS hộ  thu hồi GPMB nhanh'!$H$10:$H$20001,'8. D.kiến thu,chi GPMB nhanh'!$I17,'6. DS hộ  thu hồi GPMB nhanh'!$M$10:$M$20001,"Thu hồi",'6. DS hộ  thu hồi GPMB nhanh'!$C$10:$C$20001,'8. D.kiến thu,chi GPMB nhanh'!$C17,'6. DS hộ  thu hồi GPMB nhanh'!$D$10:$D$20001,'8. D.kiến thu,chi GPMB nhanh'!$D17,'6. DS hộ  thu hồi GPMB nhanh'!$B$10:$B$20001,'8. D.kiến thu,chi GPMB nhanh'!$B17)</f>
        <v>0</v>
      </c>
      <c r="N17" s="98">
        <f>SUMIFS('6. DS hộ  thu hồi GPMB nhanh'!$J$10:$J$20002,'6. DS hộ  thu hồi GPMB nhanh'!$E$10:$E$20002,'8. D.kiến thu,chi GPMB nhanh'!$F17,'6. DS hộ  thu hồi GPMB nhanh'!$F$10:$F$20002,'8. D.kiến thu,chi GPMB nhanh'!$G17,'6. DS hộ  thu hồi GPMB nhanh'!$G$10:$G$20002,'8. D.kiến thu,chi GPMB nhanh'!$H17,'6. DS hộ  thu hồi GPMB nhanh'!$H$10:$H$20002,'8. D.kiến thu,chi GPMB nhanh'!$I17,'6. DS hộ  thu hồi GPMB nhanh'!$C$10:$C$20002,'8. D.kiến thu,chi GPMB nhanh'!$C17,'6. DS hộ  thu hồi GPMB nhanh'!$D$10:$D$20002,'8. D.kiến thu,chi GPMB nhanh'!$D17,'6. DS hộ  thu hồi GPMB nhanh'!$B$10:$B$20002,'8. D.kiến thu,chi GPMB nhanh'!$B17,'6. DS hộ  thu hồi GPMB nhanh'!$M$10:$M$20002,"Thu hồi")</f>
        <v>0</v>
      </c>
      <c r="O17" s="125">
        <f t="shared" si="0"/>
        <v>-80000000</v>
      </c>
      <c r="P17" s="124">
        <v>0</v>
      </c>
      <c r="Q17" s="98">
        <f>SUMIFS('9. Thu, chi PABT'!$T$11:$T$20001,'9. Thu, chi PABT'!$J$11:$J$20001,'8. D.kiến thu,chi GPMB nhanh'!$F17,'9. Thu, chi PABT'!$K$11:$K$20001,'8. D.kiến thu,chi GPMB nhanh'!$G17,'9. Thu, chi PABT'!$L$11:$L$20001,'8. D.kiến thu,chi GPMB nhanh'!$H17,'9. Thu, chi PABT'!$M$11:$M$20001,'8. D.kiến thu,chi GPMB nhanh'!$I17,'9. Thu, chi PABT'!$B$11:$B$20001,'8. D.kiến thu,chi GPMB nhanh'!$C17,'9. Thu, chi PABT'!$F$11:$F$20001,'8. D.kiến thu,chi GPMB nhanh'!$D17,'9. Thu, chi PABT'!$R$11:$R$20001,"="&amp;'8. D.kiến thu,chi GPMB nhanh'!$B17)</f>
        <v>0</v>
      </c>
      <c r="R17" s="98">
        <f>SUMIFS('9. Thu, chi PABT'!$U$11:$U$20001,'9. Thu, chi PABT'!$J$11:$J$20001,'8. D.kiến thu,chi GPMB nhanh'!$F17,'9. Thu, chi PABT'!$K$11:$K$20001,'8. D.kiến thu,chi GPMB nhanh'!$G17,'9. Thu, chi PABT'!$L$11:$L$20001,'8. D.kiến thu,chi GPMB nhanh'!$H17,'9. Thu, chi PABT'!$M$11:$M$20001,'8. D.kiến thu,chi GPMB nhanh'!$I17,'9. Thu, chi PABT'!$B$11:$B$20001,'8. D.kiến thu,chi GPMB nhanh'!$C17,'9. Thu, chi PABT'!$F$11:$F$20001,'8. D.kiến thu,chi GPMB nhanh'!$D17,'9. Thu, chi PABT'!$R$11:$R$20001,'8. D.kiến thu,chi GPMB nhanh'!$B17)</f>
        <v>0</v>
      </c>
      <c r="S17" s="41">
        <f t="shared" si="1"/>
        <v>-80000000</v>
      </c>
    </row>
    <row r="18" spans="1:19" x14ac:dyDescent="0.25">
      <c r="A18" s="7"/>
      <c r="B18" s="67">
        <v>45423</v>
      </c>
      <c r="C18" s="8">
        <v>140</v>
      </c>
      <c r="D18" s="13">
        <v>240</v>
      </c>
      <c r="E18" s="8"/>
      <c r="F18" s="8" t="s">
        <v>110</v>
      </c>
      <c r="G18" s="8" t="s">
        <v>152</v>
      </c>
      <c r="H18" s="8" t="s">
        <v>112</v>
      </c>
      <c r="I18" s="8" t="s">
        <v>114</v>
      </c>
      <c r="J18" s="98">
        <f>SUMIFS('4. C.Tiết P.Án B.Thường'!$O$11:$O$20001,'4. C.Tiết P.Án B.Thường'!$J$11:$J$20001,'8. D.kiến thu,chi GPMB nhanh'!$F18,'4. C.Tiết P.Án B.Thường'!$K$11:$K$20001,'8. D.kiến thu,chi GPMB nhanh'!$G18,'4. C.Tiết P.Án B.Thường'!$L$11:$L$20001,'8. D.kiến thu,chi GPMB nhanh'!$H18,'4. C.Tiết P.Án B.Thường'!$M$11:$M$20001,'8. D.kiến thu,chi GPMB nhanh'!$I18,'4. C.Tiết P.Án B.Thường'!$B$11:$B$20001,'8. D.kiến thu,chi GPMB nhanh'!$C18,'4. C.Tiết P.Án B.Thường'!$F$11:$F$20001,'8. D.kiến thu,chi GPMB nhanh'!$D18,'4. C.Tiết P.Án B.Thường'!$F$11:$F$20001,"&lt;&gt;"&amp;"Tạm ứng",'4. C.Tiết P.Án B.Thường'!$H$11:$H$20001,"",'4. C.Tiết P.Án B.Thường'!$G$11:$G$20001,"&lt;="&amp;'8. D.kiến thu,chi GPMB nhanh'!$B18)+SUMIFS('4. C.Tiết P.Án B.Thường'!$O$11:$O$20001,'4. C.Tiết P.Án B.Thường'!$J$11:$J$20001,'8. D.kiến thu,chi GPMB nhanh'!$F18,'4. C.Tiết P.Án B.Thường'!$K$11:$K$20001,'8. D.kiến thu,chi GPMB nhanh'!$G18,'4. C.Tiết P.Án B.Thường'!$L$11:$L$20001,'8. D.kiến thu,chi GPMB nhanh'!$H18,'4. C.Tiết P.Án B.Thường'!$M$11:$M$20001,'8. D.kiến thu,chi GPMB nhanh'!$I18,'4. C.Tiết P.Án B.Thường'!$B$11:$B$20001,'8. D.kiến thu,chi GPMB nhanh'!$C18,'4. C.Tiết P.Án B.Thường'!$H$11:$H$20001,"&lt;&gt;"&amp;"Tạm ứng",'4. C.Tiết P.Án B.Thường'!$H$11:$H$20001,"&lt;&gt;"&amp;"",'4. C.Tiết P.Án B.Thường'!$I$11:$I$20001,"&lt;="&amp;'8. D.kiến thu,chi GPMB nhanh'!$B18)</f>
        <v>100000000</v>
      </c>
      <c r="K18" s="98">
        <f>SUMIFS('9. Thu, chi PABT'!$T$11:$T$20001,'9. Thu, chi PABT'!$J$11:$J$20001,'8. D.kiến thu,chi GPMB nhanh'!$F18,'9. Thu, chi PABT'!$K$11:$K$20001,'8. D.kiến thu,chi GPMB nhanh'!$G18,'9. Thu, chi PABT'!$L$11:$L$20001,'8. D.kiến thu,chi GPMB nhanh'!$H18,'9. Thu, chi PABT'!$M$11:$M$20001,'8. D.kiến thu,chi GPMB nhanh'!$I18,'9. Thu, chi PABT'!$B$11:$B$20001,'8. D.kiến thu,chi GPMB nhanh'!$C18,'9. Thu, chi PABT'!$F$11:$F$20001,"Tạm ứng",'9. Thu, chi PABT'!$R$11:$R$20001,"&lt;"&amp;'8. D.kiến thu,chi GPMB nhanh'!$B18)+SUMIFS('9. Thu, chi PABT'!$T$11:$T$20001,'9. Thu, chi PABT'!$J$11:$J$20001,'8. D.kiến thu,chi GPMB nhanh'!$F18,'9. Thu, chi PABT'!$K$11:$K$20001,'8. D.kiến thu,chi GPMB nhanh'!$G18,'9. Thu, chi PABT'!$L$11:$L$20001,'8. D.kiến thu,chi GPMB nhanh'!$H18,'9. Thu, chi PABT'!$M$11:$M$20001,'8. D.kiến thu,chi GPMB nhanh'!$I18,'9. Thu, chi PABT'!$B$11:$B$20001,'8. D.kiến thu,chi GPMB nhanh'!$C18,'9. Thu, chi PABT'!$F$11:$F$20001,'8. D.kiến thu,chi GPMB nhanh'!$D18,'9. Thu, chi PABT'!$H$11:$H$20001,"Tạm ứng",'9. Thu, chi PABT'!$R$11:$R$20001,"&lt;"&amp;'8. D.kiến thu,chi GPMB nhanh'!$B18)</f>
        <v>0</v>
      </c>
      <c r="L18" s="98">
        <f>SUMIFS('9. Thu, chi PABT'!$T$11:$T$20001,'9. Thu, chi PABT'!$J$11:$J$20001,'8. D.kiến thu,chi GPMB nhanh'!$F18,'9. Thu, chi PABT'!$K$11:$K$20001,'8. D.kiến thu,chi GPMB nhanh'!$G18,'9. Thu, chi PABT'!$L$11:$L$20001,'8. D.kiến thu,chi GPMB nhanh'!$H18,'9. Thu, chi PABT'!$M$11:$M$20001,'8. D.kiến thu,chi GPMB nhanh'!$I18,'9. Thu, chi PABT'!$B$11:$B$20001,'8. D.kiến thu,chi GPMB nhanh'!$C18,'9. Thu, chi PABT'!$F$11:$F$20001,'8. D.kiến thu,chi GPMB nhanh'!$D18,'9. Thu, chi PABT'!$F$11:$F$20001,"&lt;&gt;"&amp;"Tạm ứng",'9. Thu, chi PABT'!$F$11:$F$20001,"&lt;&gt;"&amp;"",'9. Thu, chi PABT'!$R$11:$R$20001,"&lt;"&amp;'8. D.kiến thu,chi GPMB nhanh'!$B18)-SUMIFS('9. Thu, chi PABT'!$U$11:$U$20001,'9. Thu, chi PABT'!$J$11:$J$20001,'8. D.kiến thu,chi GPMB nhanh'!$F18,'9. Thu, chi PABT'!$K$11:$K$20001,'8. D.kiến thu,chi GPMB nhanh'!$G18,'9. Thu, chi PABT'!$L$11:$L$20001,'8. D.kiến thu,chi GPMB nhanh'!$H18,'9. Thu, chi PABT'!$M$11:$M$20001,'8. D.kiến thu,chi GPMB nhanh'!$I18,'9. Thu, chi PABT'!$B$11:$B$20001,'8. D.kiến thu,chi GPMB nhanh'!$C18,'9. Thu, chi PABT'!$F$11:$F$20001,'8. D.kiến thu,chi GPMB nhanh'!$D18,'9. Thu, chi PABT'!$R$11:$R$20001,"&lt;"&amp;'8. D.kiến thu,chi GPMB nhanh'!$B18)</f>
        <v>0</v>
      </c>
      <c r="M18" s="98">
        <f>SUMIFS('6. DS hộ  thu hồi GPMB nhanh'!$I$10:$I$20001,'6. DS hộ  thu hồi GPMB nhanh'!$E$10:$E$20001,'8. D.kiến thu,chi GPMB nhanh'!$F18,'6. DS hộ  thu hồi GPMB nhanh'!$F$10:$F$20001,'8. D.kiến thu,chi GPMB nhanh'!$G18,'6. DS hộ  thu hồi GPMB nhanh'!$G$10:$G$20001,'8. D.kiến thu,chi GPMB nhanh'!$H18,'6. DS hộ  thu hồi GPMB nhanh'!$H$10:$H$20001,'8. D.kiến thu,chi GPMB nhanh'!$I18,'6. DS hộ  thu hồi GPMB nhanh'!$M$10:$M$20001,"Thu hồi",'6. DS hộ  thu hồi GPMB nhanh'!$C$10:$C$20001,'8. D.kiến thu,chi GPMB nhanh'!$C18,'6. DS hộ  thu hồi GPMB nhanh'!$D$10:$D$20001,'8. D.kiến thu,chi GPMB nhanh'!$D18,'6. DS hộ  thu hồi GPMB nhanh'!$B$10:$B$20001,'8. D.kiến thu,chi GPMB nhanh'!$B18)</f>
        <v>0</v>
      </c>
      <c r="N18" s="98">
        <f>SUMIFS('6. DS hộ  thu hồi GPMB nhanh'!$J$10:$J$20002,'6. DS hộ  thu hồi GPMB nhanh'!$E$10:$E$20002,'8. D.kiến thu,chi GPMB nhanh'!$F18,'6. DS hộ  thu hồi GPMB nhanh'!$F$10:$F$20002,'8. D.kiến thu,chi GPMB nhanh'!$G18,'6. DS hộ  thu hồi GPMB nhanh'!$G$10:$G$20002,'8. D.kiến thu,chi GPMB nhanh'!$H18,'6. DS hộ  thu hồi GPMB nhanh'!$H$10:$H$20002,'8. D.kiến thu,chi GPMB nhanh'!$I18,'6. DS hộ  thu hồi GPMB nhanh'!$C$10:$C$20002,'8. D.kiến thu,chi GPMB nhanh'!$C18,'6. DS hộ  thu hồi GPMB nhanh'!$D$10:$D$20002,'8. D.kiến thu,chi GPMB nhanh'!$D18,'6. DS hộ  thu hồi GPMB nhanh'!$B$10:$B$20002,'8. D.kiến thu,chi GPMB nhanh'!$B18,'6. DS hộ  thu hồi GPMB nhanh'!$M$10:$M$20002,"Thu hồi")</f>
        <v>0</v>
      </c>
      <c r="O18" s="125">
        <f t="shared" si="0"/>
        <v>100000000</v>
      </c>
      <c r="P18" s="124">
        <v>100000000</v>
      </c>
      <c r="Q18" s="98">
        <f>SUMIFS('9. Thu, chi PABT'!$T$11:$T$20001,'9. Thu, chi PABT'!$J$11:$J$20001,'8. D.kiến thu,chi GPMB nhanh'!$F18,'9. Thu, chi PABT'!$K$11:$K$20001,'8. D.kiến thu,chi GPMB nhanh'!$G18,'9. Thu, chi PABT'!$L$11:$L$20001,'8. D.kiến thu,chi GPMB nhanh'!$H18,'9. Thu, chi PABT'!$M$11:$M$20001,'8. D.kiến thu,chi GPMB nhanh'!$I18,'9. Thu, chi PABT'!$B$11:$B$20001,'8. D.kiến thu,chi GPMB nhanh'!$C18,'9. Thu, chi PABT'!$F$11:$F$20001,'8. D.kiến thu,chi GPMB nhanh'!$D18,'9. Thu, chi PABT'!$R$11:$R$20001,"="&amp;'8. D.kiến thu,chi GPMB nhanh'!$B18)</f>
        <v>100000000</v>
      </c>
      <c r="R18" s="98">
        <f>SUMIFS('9. Thu, chi PABT'!$U$11:$U$20001,'9. Thu, chi PABT'!$J$11:$J$20001,'8. D.kiến thu,chi GPMB nhanh'!$F18,'9. Thu, chi PABT'!$K$11:$K$20001,'8. D.kiến thu,chi GPMB nhanh'!$G18,'9. Thu, chi PABT'!$L$11:$L$20001,'8. D.kiến thu,chi GPMB nhanh'!$H18,'9. Thu, chi PABT'!$M$11:$M$20001,'8. D.kiến thu,chi GPMB nhanh'!$I18,'9. Thu, chi PABT'!$B$11:$B$20001,'8. D.kiến thu,chi GPMB nhanh'!$C18,'9. Thu, chi PABT'!$F$11:$F$20001,'8. D.kiến thu,chi GPMB nhanh'!$D18,'9. Thu, chi PABT'!$R$11:$R$20001,'8. D.kiến thu,chi GPMB nhanh'!$B18)</f>
        <v>0</v>
      </c>
      <c r="S18" s="41">
        <f t="shared" si="1"/>
        <v>0</v>
      </c>
    </row>
    <row r="19" spans="1:19" x14ac:dyDescent="0.25">
      <c r="A19" s="7"/>
      <c r="B19" s="67">
        <v>45433</v>
      </c>
      <c r="C19" s="8">
        <v>140</v>
      </c>
      <c r="D19" s="8">
        <v>240</v>
      </c>
      <c r="E19" s="8">
        <v>241</v>
      </c>
      <c r="F19" s="8" t="s">
        <v>110</v>
      </c>
      <c r="G19" s="8" t="s">
        <v>152</v>
      </c>
      <c r="H19" s="8" t="s">
        <v>112</v>
      </c>
      <c r="I19" s="8" t="s">
        <v>114</v>
      </c>
      <c r="J19" s="98">
        <f>SUMIFS('4. C.Tiết P.Án B.Thường'!$O$11:$O$20001,'4. C.Tiết P.Án B.Thường'!$J$11:$J$20001,'8. D.kiến thu,chi GPMB nhanh'!$F19,'4. C.Tiết P.Án B.Thường'!$K$11:$K$20001,'8. D.kiến thu,chi GPMB nhanh'!$G19,'4. C.Tiết P.Án B.Thường'!$L$11:$L$20001,'8. D.kiến thu,chi GPMB nhanh'!$H19,'4. C.Tiết P.Án B.Thường'!$M$11:$M$20001,'8. D.kiến thu,chi GPMB nhanh'!$I19,'4. C.Tiết P.Án B.Thường'!$B$11:$B$20001,'8. D.kiến thu,chi GPMB nhanh'!$C19,'4. C.Tiết P.Án B.Thường'!$F$11:$F$20001,'8. D.kiến thu,chi GPMB nhanh'!$D19,'4. C.Tiết P.Án B.Thường'!$F$11:$F$20001,"&lt;&gt;"&amp;"Tạm ứng",'4. C.Tiết P.Án B.Thường'!$H$11:$H$20001,"",'4. C.Tiết P.Án B.Thường'!$G$11:$G$20001,"&lt;="&amp;'8. D.kiến thu,chi GPMB nhanh'!$B19)+SUMIFS('4. C.Tiết P.Án B.Thường'!$O$11:$O$20001,'4. C.Tiết P.Án B.Thường'!$J$11:$J$20001,'8. D.kiến thu,chi GPMB nhanh'!$F19,'4. C.Tiết P.Án B.Thường'!$K$11:$K$20001,'8. D.kiến thu,chi GPMB nhanh'!$G19,'4. C.Tiết P.Án B.Thường'!$L$11:$L$20001,'8. D.kiến thu,chi GPMB nhanh'!$H19,'4. C.Tiết P.Án B.Thường'!$M$11:$M$20001,'8. D.kiến thu,chi GPMB nhanh'!$I19,'4. C.Tiết P.Án B.Thường'!$B$11:$B$20001,'8. D.kiến thu,chi GPMB nhanh'!$C19,'4. C.Tiết P.Án B.Thường'!$H$11:$H$20001,"&lt;&gt;"&amp;"Tạm ứng",'4. C.Tiết P.Án B.Thường'!$H$11:$H$20001,"&lt;&gt;"&amp;"",'4. C.Tiết P.Án B.Thường'!$I$11:$I$20001,"&lt;="&amp;'8. D.kiến thu,chi GPMB nhanh'!$B19)</f>
        <v>90000000</v>
      </c>
      <c r="K19" s="98">
        <f>SUMIFS('9. Thu, chi PABT'!$T$11:$T$20001,'9. Thu, chi PABT'!$J$11:$J$20001,'8. D.kiến thu,chi GPMB nhanh'!$F19,'9. Thu, chi PABT'!$K$11:$K$20001,'8. D.kiến thu,chi GPMB nhanh'!$G19,'9. Thu, chi PABT'!$L$11:$L$20001,'8. D.kiến thu,chi GPMB nhanh'!$H19,'9. Thu, chi PABT'!$M$11:$M$20001,'8. D.kiến thu,chi GPMB nhanh'!$I19,'9. Thu, chi PABT'!$B$11:$B$20001,'8. D.kiến thu,chi GPMB nhanh'!$C19,'9. Thu, chi PABT'!$F$11:$F$20001,"Tạm ứng",'9. Thu, chi PABT'!$R$11:$R$20001,"&lt;"&amp;'8. D.kiến thu,chi GPMB nhanh'!$B19)+SUMIFS('9. Thu, chi PABT'!$T$11:$T$20001,'9. Thu, chi PABT'!$J$11:$J$20001,'8. D.kiến thu,chi GPMB nhanh'!$F19,'9. Thu, chi PABT'!$K$11:$K$20001,'8. D.kiến thu,chi GPMB nhanh'!$G19,'9. Thu, chi PABT'!$L$11:$L$20001,'8. D.kiến thu,chi GPMB nhanh'!$H19,'9. Thu, chi PABT'!$M$11:$M$20001,'8. D.kiến thu,chi GPMB nhanh'!$I19,'9. Thu, chi PABT'!$B$11:$B$20001,'8. D.kiến thu,chi GPMB nhanh'!$C19,'9. Thu, chi PABT'!$F$11:$F$20001,'8. D.kiến thu,chi GPMB nhanh'!$D19,'9. Thu, chi PABT'!$H$11:$H$20001,"Tạm ứng",'9. Thu, chi PABT'!$R$11:$R$20001,"&lt;"&amp;'8. D.kiến thu,chi GPMB nhanh'!$B19)</f>
        <v>0</v>
      </c>
      <c r="L19" s="98">
        <f>SUMIFS('9. Thu, chi PABT'!$T$11:$T$20001,'9. Thu, chi PABT'!$J$11:$J$20001,'8. D.kiến thu,chi GPMB nhanh'!$F19,'9. Thu, chi PABT'!$K$11:$K$20001,'8. D.kiến thu,chi GPMB nhanh'!$G19,'9. Thu, chi PABT'!$L$11:$L$20001,'8. D.kiến thu,chi GPMB nhanh'!$H19,'9. Thu, chi PABT'!$M$11:$M$20001,'8. D.kiến thu,chi GPMB nhanh'!$I19,'9. Thu, chi PABT'!$B$11:$B$20001,'8. D.kiến thu,chi GPMB nhanh'!$C19,'9. Thu, chi PABT'!$F$11:$F$20001,'8. D.kiến thu,chi GPMB nhanh'!$D19,'9. Thu, chi PABT'!$F$11:$F$20001,"&lt;&gt;"&amp;"Tạm ứng",'9. Thu, chi PABT'!$F$11:$F$20001,"&lt;&gt;"&amp;"",'9. Thu, chi PABT'!$R$11:$R$20001,"&lt;"&amp;'8. D.kiến thu,chi GPMB nhanh'!$B19)-SUMIFS('9. Thu, chi PABT'!$U$11:$U$20001,'9. Thu, chi PABT'!$J$11:$J$20001,'8. D.kiến thu,chi GPMB nhanh'!$F19,'9. Thu, chi PABT'!$K$11:$K$20001,'8. D.kiến thu,chi GPMB nhanh'!$G19,'9. Thu, chi PABT'!$L$11:$L$20001,'8. D.kiến thu,chi GPMB nhanh'!$H19,'9. Thu, chi PABT'!$M$11:$M$20001,'8. D.kiến thu,chi GPMB nhanh'!$I19,'9. Thu, chi PABT'!$B$11:$B$20001,'8. D.kiến thu,chi GPMB nhanh'!$C19,'9. Thu, chi PABT'!$F$11:$F$20001,'8. D.kiến thu,chi GPMB nhanh'!$D19,'9. Thu, chi PABT'!$R$11:$R$20001,"&lt;"&amp;'8. D.kiến thu,chi GPMB nhanh'!$B19)</f>
        <v>100000000</v>
      </c>
      <c r="M19" s="98">
        <f>SUMIFS('6. DS hộ  thu hồi GPMB nhanh'!$I$10:$I$20001,'6. DS hộ  thu hồi GPMB nhanh'!$E$10:$E$20001,'8. D.kiến thu,chi GPMB nhanh'!$F19,'6. DS hộ  thu hồi GPMB nhanh'!$F$10:$F$20001,'8. D.kiến thu,chi GPMB nhanh'!$G19,'6. DS hộ  thu hồi GPMB nhanh'!$G$10:$G$20001,'8. D.kiến thu,chi GPMB nhanh'!$H19,'6. DS hộ  thu hồi GPMB nhanh'!$H$10:$H$20001,'8. D.kiến thu,chi GPMB nhanh'!$I19,'6. DS hộ  thu hồi GPMB nhanh'!$M$10:$M$20001,"Thu hồi",'6. DS hộ  thu hồi GPMB nhanh'!$C$10:$C$20001,'8. D.kiến thu,chi GPMB nhanh'!$C19,'6. DS hộ  thu hồi GPMB nhanh'!$D$10:$D$20001,'8. D.kiến thu,chi GPMB nhanh'!$D19,'6. DS hộ  thu hồi GPMB nhanh'!$B$10:$B$20001,'8. D.kiến thu,chi GPMB nhanh'!$B19)</f>
        <v>-10000000</v>
      </c>
      <c r="N19" s="98">
        <f>SUMIFS('6. DS hộ  thu hồi GPMB nhanh'!$J$10:$J$20002,'6. DS hộ  thu hồi GPMB nhanh'!$E$10:$E$20002,'8. D.kiến thu,chi GPMB nhanh'!$F19,'6. DS hộ  thu hồi GPMB nhanh'!$F$10:$F$20002,'8. D.kiến thu,chi GPMB nhanh'!$G19,'6. DS hộ  thu hồi GPMB nhanh'!$G$10:$G$20002,'8. D.kiến thu,chi GPMB nhanh'!$H19,'6. DS hộ  thu hồi GPMB nhanh'!$H$10:$H$20002,'8. D.kiến thu,chi GPMB nhanh'!$I19,'6. DS hộ  thu hồi GPMB nhanh'!$C$10:$C$20002,'8. D.kiến thu,chi GPMB nhanh'!$C19,'6. DS hộ  thu hồi GPMB nhanh'!$D$10:$D$20002,'8. D.kiến thu,chi GPMB nhanh'!$D19,'6. DS hộ  thu hồi GPMB nhanh'!$B$10:$B$20002,'8. D.kiến thu,chi GPMB nhanh'!$B19,'6. DS hộ  thu hồi GPMB nhanh'!$M$10:$M$20002,"Thu hồi")</f>
        <v>3000000</v>
      </c>
      <c r="O19" s="125">
        <f t="shared" si="0"/>
        <v>-7000000</v>
      </c>
      <c r="P19" s="124">
        <v>0</v>
      </c>
      <c r="Q19" s="98">
        <f>SUMIFS('9. Thu, chi PABT'!$T$11:$T$20001,'9. Thu, chi PABT'!$J$11:$J$20001,'8. D.kiến thu,chi GPMB nhanh'!$F19,'9. Thu, chi PABT'!$K$11:$K$20001,'8. D.kiến thu,chi GPMB nhanh'!$G19,'9. Thu, chi PABT'!$L$11:$L$20001,'8. D.kiến thu,chi GPMB nhanh'!$H19,'9. Thu, chi PABT'!$M$11:$M$20001,'8. D.kiến thu,chi GPMB nhanh'!$I19,'9. Thu, chi PABT'!$B$11:$B$20001,'8. D.kiến thu,chi GPMB nhanh'!$C19,'9. Thu, chi PABT'!$F$11:$F$20001,'8. D.kiến thu,chi GPMB nhanh'!$D19,'9. Thu, chi PABT'!$R$11:$R$20001,"="&amp;'8. D.kiến thu,chi GPMB nhanh'!$B19)</f>
        <v>0</v>
      </c>
      <c r="R19" s="98">
        <f>SUMIFS('9. Thu, chi PABT'!$U$11:$U$20001,'9. Thu, chi PABT'!$J$11:$J$20001,'8. D.kiến thu,chi GPMB nhanh'!$F19,'9. Thu, chi PABT'!$K$11:$K$20001,'8. D.kiến thu,chi GPMB nhanh'!$G19,'9. Thu, chi PABT'!$L$11:$L$20001,'8. D.kiến thu,chi GPMB nhanh'!$H19,'9. Thu, chi PABT'!$M$11:$M$20001,'8. D.kiến thu,chi GPMB nhanh'!$I19,'9. Thu, chi PABT'!$B$11:$B$20001,'8. D.kiến thu,chi GPMB nhanh'!$C19,'9. Thu, chi PABT'!$F$11:$F$20001,'8. D.kiến thu,chi GPMB nhanh'!$D19,'9. Thu, chi PABT'!$R$11:$R$20001,'8. D.kiến thu,chi GPMB nhanh'!$B19)</f>
        <v>3000000</v>
      </c>
      <c r="S19" s="41">
        <f t="shared" si="1"/>
        <v>-7000000</v>
      </c>
    </row>
    <row r="20" spans="1:19" x14ac:dyDescent="0.25">
      <c r="A20" s="7"/>
      <c r="B20" s="67">
        <v>45437</v>
      </c>
      <c r="C20" s="8">
        <v>140</v>
      </c>
      <c r="D20" s="8">
        <v>240</v>
      </c>
      <c r="E20" s="8"/>
      <c r="F20" s="8" t="s">
        <v>110</v>
      </c>
      <c r="G20" s="8" t="s">
        <v>152</v>
      </c>
      <c r="H20" s="8" t="s">
        <v>112</v>
      </c>
      <c r="I20" s="8" t="s">
        <v>114</v>
      </c>
      <c r="J20" s="98">
        <f>SUMIFS('4. C.Tiết P.Án B.Thường'!$O$11:$O$20001,'4. C.Tiết P.Án B.Thường'!$J$11:$J$20001,'8. D.kiến thu,chi GPMB nhanh'!$F20,'4. C.Tiết P.Án B.Thường'!$K$11:$K$20001,'8. D.kiến thu,chi GPMB nhanh'!$G20,'4. C.Tiết P.Án B.Thường'!$L$11:$L$20001,'8. D.kiến thu,chi GPMB nhanh'!$H20,'4. C.Tiết P.Án B.Thường'!$M$11:$M$20001,'8. D.kiến thu,chi GPMB nhanh'!$I20,'4. C.Tiết P.Án B.Thường'!$B$11:$B$20001,'8. D.kiến thu,chi GPMB nhanh'!$C20,'4. C.Tiết P.Án B.Thường'!$F$11:$F$20001,'8. D.kiến thu,chi GPMB nhanh'!$D20,'4. C.Tiết P.Án B.Thường'!$F$11:$F$20001,"&lt;&gt;"&amp;"Tạm ứng",'4. C.Tiết P.Án B.Thường'!$H$11:$H$20001,"",'4. C.Tiết P.Án B.Thường'!$G$11:$G$20001,"&lt;="&amp;'8. D.kiến thu,chi GPMB nhanh'!$B20)+SUMIFS('4. C.Tiết P.Án B.Thường'!$O$11:$O$20001,'4. C.Tiết P.Án B.Thường'!$J$11:$J$20001,'8. D.kiến thu,chi GPMB nhanh'!$F20,'4. C.Tiết P.Án B.Thường'!$K$11:$K$20001,'8. D.kiến thu,chi GPMB nhanh'!$G20,'4. C.Tiết P.Án B.Thường'!$L$11:$L$20001,'8. D.kiến thu,chi GPMB nhanh'!$H20,'4. C.Tiết P.Án B.Thường'!$M$11:$M$20001,'8. D.kiến thu,chi GPMB nhanh'!$I20,'4. C.Tiết P.Án B.Thường'!$B$11:$B$20001,'8. D.kiến thu,chi GPMB nhanh'!$C20,'4. C.Tiết P.Án B.Thường'!$H$11:$H$20001,"&lt;&gt;"&amp;"Tạm ứng",'4. C.Tiết P.Án B.Thường'!$H$11:$H$20001,"&lt;&gt;"&amp;"",'4. C.Tiết P.Án B.Thường'!$I$11:$I$20001,"&lt;="&amp;'8. D.kiến thu,chi GPMB nhanh'!$B20)</f>
        <v>90000000</v>
      </c>
      <c r="K20" s="98">
        <f>SUMIFS('9. Thu, chi PABT'!$T$11:$T$20001,'9. Thu, chi PABT'!$J$11:$J$20001,'8. D.kiến thu,chi GPMB nhanh'!$F20,'9. Thu, chi PABT'!$K$11:$K$20001,'8. D.kiến thu,chi GPMB nhanh'!$G20,'9. Thu, chi PABT'!$L$11:$L$20001,'8. D.kiến thu,chi GPMB nhanh'!$H20,'9. Thu, chi PABT'!$M$11:$M$20001,'8. D.kiến thu,chi GPMB nhanh'!$I20,'9. Thu, chi PABT'!$B$11:$B$20001,'8. D.kiến thu,chi GPMB nhanh'!$C20,'9. Thu, chi PABT'!$F$11:$F$20001,"Tạm ứng",'9. Thu, chi PABT'!$R$11:$R$20001,"&lt;"&amp;'8. D.kiến thu,chi GPMB nhanh'!$B20)+SUMIFS('9. Thu, chi PABT'!$T$11:$T$20001,'9. Thu, chi PABT'!$J$11:$J$20001,'8. D.kiến thu,chi GPMB nhanh'!$F20,'9. Thu, chi PABT'!$K$11:$K$20001,'8. D.kiến thu,chi GPMB nhanh'!$G20,'9. Thu, chi PABT'!$L$11:$L$20001,'8. D.kiến thu,chi GPMB nhanh'!$H20,'9. Thu, chi PABT'!$M$11:$M$20001,'8. D.kiến thu,chi GPMB nhanh'!$I20,'9. Thu, chi PABT'!$B$11:$B$20001,'8. D.kiến thu,chi GPMB nhanh'!$C20,'9. Thu, chi PABT'!$F$11:$F$20001,'8. D.kiến thu,chi GPMB nhanh'!$D20,'9. Thu, chi PABT'!$H$11:$H$20001,"Tạm ứng",'9. Thu, chi PABT'!$R$11:$R$20001,"&lt;"&amp;'8. D.kiến thu,chi GPMB nhanh'!$B20)</f>
        <v>0</v>
      </c>
      <c r="L20" s="98">
        <f>SUMIFS('9. Thu, chi PABT'!$T$11:$T$20001,'9. Thu, chi PABT'!$J$11:$J$20001,'8. D.kiến thu,chi GPMB nhanh'!$F20,'9. Thu, chi PABT'!$K$11:$K$20001,'8. D.kiến thu,chi GPMB nhanh'!$G20,'9. Thu, chi PABT'!$L$11:$L$20001,'8. D.kiến thu,chi GPMB nhanh'!$H20,'9. Thu, chi PABT'!$M$11:$M$20001,'8. D.kiến thu,chi GPMB nhanh'!$I20,'9. Thu, chi PABT'!$B$11:$B$20001,'8. D.kiến thu,chi GPMB nhanh'!$C20,'9. Thu, chi PABT'!$F$11:$F$20001,'8. D.kiến thu,chi GPMB nhanh'!$D20,'9. Thu, chi PABT'!$F$11:$F$20001,"&lt;&gt;"&amp;"Tạm ứng",'9. Thu, chi PABT'!$F$11:$F$20001,"&lt;&gt;"&amp;"",'9. Thu, chi PABT'!$R$11:$R$20001,"&lt;"&amp;'8. D.kiến thu,chi GPMB nhanh'!$B20)-SUMIFS('9. Thu, chi PABT'!$U$11:$U$20001,'9. Thu, chi PABT'!$J$11:$J$20001,'8. D.kiến thu,chi GPMB nhanh'!$F20,'9. Thu, chi PABT'!$K$11:$K$20001,'8. D.kiến thu,chi GPMB nhanh'!$G20,'9. Thu, chi PABT'!$L$11:$L$20001,'8. D.kiến thu,chi GPMB nhanh'!$H20,'9. Thu, chi PABT'!$M$11:$M$20001,'8. D.kiến thu,chi GPMB nhanh'!$I20,'9. Thu, chi PABT'!$B$11:$B$20001,'8. D.kiến thu,chi GPMB nhanh'!$C20,'9. Thu, chi PABT'!$F$11:$F$20001,'8. D.kiến thu,chi GPMB nhanh'!$D20,'9. Thu, chi PABT'!$R$11:$R$20001,"&lt;"&amp;'8. D.kiến thu,chi GPMB nhanh'!$B20)</f>
        <v>97000000</v>
      </c>
      <c r="M20" s="98">
        <f>SUMIFS('6. DS hộ  thu hồi GPMB nhanh'!$I$10:$I$20001,'6. DS hộ  thu hồi GPMB nhanh'!$E$10:$E$20001,'8. D.kiến thu,chi GPMB nhanh'!$F20,'6. DS hộ  thu hồi GPMB nhanh'!$F$10:$F$20001,'8. D.kiến thu,chi GPMB nhanh'!$G20,'6. DS hộ  thu hồi GPMB nhanh'!$G$10:$G$20001,'8. D.kiến thu,chi GPMB nhanh'!$H20,'6. DS hộ  thu hồi GPMB nhanh'!$H$10:$H$20001,'8. D.kiến thu,chi GPMB nhanh'!$I20,'6. DS hộ  thu hồi GPMB nhanh'!$M$10:$M$20001,"Thu hồi",'6. DS hộ  thu hồi GPMB nhanh'!$C$10:$C$20001,'8. D.kiến thu,chi GPMB nhanh'!$C20,'6. DS hộ  thu hồi GPMB nhanh'!$D$10:$D$20001,'8. D.kiến thu,chi GPMB nhanh'!$D20,'6. DS hộ  thu hồi GPMB nhanh'!$B$10:$B$20001,'8. D.kiến thu,chi GPMB nhanh'!$B20)</f>
        <v>-7000000</v>
      </c>
      <c r="N20" s="98">
        <f>SUMIFS('6. DS hộ  thu hồi GPMB nhanh'!$J$10:$J$20002,'6. DS hộ  thu hồi GPMB nhanh'!$E$10:$E$20002,'8. D.kiến thu,chi GPMB nhanh'!$F20,'6. DS hộ  thu hồi GPMB nhanh'!$F$10:$F$20002,'8. D.kiến thu,chi GPMB nhanh'!$G20,'6. DS hộ  thu hồi GPMB nhanh'!$G$10:$G$20002,'8. D.kiến thu,chi GPMB nhanh'!$H20,'6. DS hộ  thu hồi GPMB nhanh'!$H$10:$H$20002,'8. D.kiến thu,chi GPMB nhanh'!$I20,'6. DS hộ  thu hồi GPMB nhanh'!$C$10:$C$20002,'8. D.kiến thu,chi GPMB nhanh'!$C20,'6. DS hộ  thu hồi GPMB nhanh'!$D$10:$D$20002,'8. D.kiến thu,chi GPMB nhanh'!$D20,'6. DS hộ  thu hồi GPMB nhanh'!$B$10:$B$20002,'8. D.kiến thu,chi GPMB nhanh'!$B20,'6. DS hộ  thu hồi GPMB nhanh'!$M$10:$M$20002,"Thu hồi")</f>
        <v>7000000</v>
      </c>
      <c r="O20" s="125">
        <f t="shared" si="0"/>
        <v>0</v>
      </c>
      <c r="P20" s="124">
        <v>0</v>
      </c>
      <c r="Q20" s="98">
        <f>SUMIFS('9. Thu, chi PABT'!$T$11:$T$20001,'9. Thu, chi PABT'!$J$11:$J$20001,'8. D.kiến thu,chi GPMB nhanh'!$F20,'9. Thu, chi PABT'!$K$11:$K$20001,'8. D.kiến thu,chi GPMB nhanh'!$G20,'9. Thu, chi PABT'!$L$11:$L$20001,'8. D.kiến thu,chi GPMB nhanh'!$H20,'9. Thu, chi PABT'!$M$11:$M$20001,'8. D.kiến thu,chi GPMB nhanh'!$I20,'9. Thu, chi PABT'!$B$11:$B$20001,'8. D.kiến thu,chi GPMB nhanh'!$C20,'9. Thu, chi PABT'!$F$11:$F$20001,'8. D.kiến thu,chi GPMB nhanh'!$D20,'9. Thu, chi PABT'!$R$11:$R$20001,"="&amp;'8. D.kiến thu,chi GPMB nhanh'!$B20)</f>
        <v>0</v>
      </c>
      <c r="R20" s="98">
        <f>SUMIFS('9. Thu, chi PABT'!$U$11:$U$20001,'9. Thu, chi PABT'!$J$11:$J$20001,'8. D.kiến thu,chi GPMB nhanh'!$F20,'9. Thu, chi PABT'!$K$11:$K$20001,'8. D.kiến thu,chi GPMB nhanh'!$G20,'9. Thu, chi PABT'!$L$11:$L$20001,'8. D.kiến thu,chi GPMB nhanh'!$H20,'9. Thu, chi PABT'!$M$11:$M$20001,'8. D.kiến thu,chi GPMB nhanh'!$I20,'9. Thu, chi PABT'!$B$11:$B$20001,'8. D.kiến thu,chi GPMB nhanh'!$C20,'9. Thu, chi PABT'!$F$11:$F$20001,'8. D.kiến thu,chi GPMB nhanh'!$D20,'9. Thu, chi PABT'!$R$11:$R$20001,'8. D.kiến thu,chi GPMB nhanh'!$B20)</f>
        <v>7000000</v>
      </c>
      <c r="S20" s="41">
        <f t="shared" si="1"/>
        <v>0</v>
      </c>
    </row>
    <row r="21" spans="1:19" x14ac:dyDescent="0.25">
      <c r="A21" s="7"/>
      <c r="B21" s="67"/>
      <c r="C21" s="8"/>
      <c r="D21" s="8"/>
      <c r="E21" s="8"/>
      <c r="F21" s="8"/>
      <c r="G21" s="8"/>
      <c r="H21" s="8"/>
      <c r="I21" s="8"/>
      <c r="J21" s="98">
        <f>SUMIFS('4. C.Tiết P.Án B.Thường'!$O$11:$O$20001,'4. C.Tiết P.Án B.Thường'!$J$11:$J$20001,'8. D.kiến thu,chi GPMB nhanh'!$F21,'4. C.Tiết P.Án B.Thường'!$K$11:$K$20001,'8. D.kiến thu,chi GPMB nhanh'!$G21,'4. C.Tiết P.Án B.Thường'!$L$11:$L$20001,'8. D.kiến thu,chi GPMB nhanh'!$H21,'4. C.Tiết P.Án B.Thường'!$M$11:$M$20001,'8. D.kiến thu,chi GPMB nhanh'!$I21,'4. C.Tiết P.Án B.Thường'!$B$11:$B$20001,'8. D.kiến thu,chi GPMB nhanh'!$C21,'4. C.Tiết P.Án B.Thường'!$F$11:$F$20001,'8. D.kiến thu,chi GPMB nhanh'!$D21,'4. C.Tiết P.Án B.Thường'!$F$11:$F$20001,"&lt;&gt;"&amp;"Tạm ứng",'4. C.Tiết P.Án B.Thường'!$H$11:$H$20001,"",'4. C.Tiết P.Án B.Thường'!$G$11:$G$20001,"&lt;="&amp;'8. D.kiến thu,chi GPMB nhanh'!$B21)+SUMIFS('4. C.Tiết P.Án B.Thường'!$O$11:$O$20001,'4. C.Tiết P.Án B.Thường'!$J$11:$J$20001,'8. D.kiến thu,chi GPMB nhanh'!$F21,'4. C.Tiết P.Án B.Thường'!$K$11:$K$20001,'8. D.kiến thu,chi GPMB nhanh'!$G21,'4. C.Tiết P.Án B.Thường'!$L$11:$L$20001,'8. D.kiến thu,chi GPMB nhanh'!$H21,'4. C.Tiết P.Án B.Thường'!$M$11:$M$20001,'8. D.kiến thu,chi GPMB nhanh'!$I21,'4. C.Tiết P.Án B.Thường'!$B$11:$B$20001,'8. D.kiến thu,chi GPMB nhanh'!$C21,'4. C.Tiết P.Án B.Thường'!$H$11:$H$20001,"&lt;&gt;"&amp;"Tạm ứng",'4. C.Tiết P.Án B.Thường'!$H$11:$H$20001,"&lt;&gt;"&amp;"",'4. C.Tiết P.Án B.Thường'!$I$11:$I$20001,"&lt;="&amp;'8. D.kiến thu,chi GPMB nhanh'!$B21)</f>
        <v>0</v>
      </c>
      <c r="K21" s="98">
        <f>SUMIFS('9. Thu, chi PABT'!$T$11:$T$20001,'9. Thu, chi PABT'!$J$11:$J$20001,'8. D.kiến thu,chi GPMB nhanh'!$F21,'9. Thu, chi PABT'!$K$11:$K$20001,'8. D.kiến thu,chi GPMB nhanh'!$G21,'9. Thu, chi PABT'!$L$11:$L$20001,'8. D.kiến thu,chi GPMB nhanh'!$H21,'9. Thu, chi PABT'!$M$11:$M$20001,'8. D.kiến thu,chi GPMB nhanh'!$I21,'9. Thu, chi PABT'!$B$11:$B$20001,'8. D.kiến thu,chi GPMB nhanh'!$C21,'9. Thu, chi PABT'!$F$11:$F$20001,"Tạm ứng",'9. Thu, chi PABT'!$R$11:$R$20001,"&lt;"&amp;'8. D.kiến thu,chi GPMB nhanh'!$B21)+SUMIFS('9. Thu, chi PABT'!$T$11:$T$20001,'9. Thu, chi PABT'!$J$11:$J$20001,'8. D.kiến thu,chi GPMB nhanh'!$F21,'9. Thu, chi PABT'!$K$11:$K$20001,'8. D.kiến thu,chi GPMB nhanh'!$G21,'9. Thu, chi PABT'!$L$11:$L$20001,'8. D.kiến thu,chi GPMB nhanh'!$H21,'9. Thu, chi PABT'!$M$11:$M$20001,'8. D.kiến thu,chi GPMB nhanh'!$I21,'9. Thu, chi PABT'!$B$11:$B$20001,'8. D.kiến thu,chi GPMB nhanh'!$C21,'9. Thu, chi PABT'!$F$11:$F$20001,'8. D.kiến thu,chi GPMB nhanh'!$D21,'9. Thu, chi PABT'!$H$11:$H$20001,"Tạm ứng",'9. Thu, chi PABT'!$R$11:$R$20001,"&lt;"&amp;'8. D.kiến thu,chi GPMB nhanh'!$B21)</f>
        <v>0</v>
      </c>
      <c r="L21" s="98">
        <f>SUMIFS('9. Thu, chi PABT'!$T$11:$T$20001,'9. Thu, chi PABT'!$J$11:$J$20001,'8. D.kiến thu,chi GPMB nhanh'!$F21,'9. Thu, chi PABT'!$K$11:$K$20001,'8. D.kiến thu,chi GPMB nhanh'!$G21,'9. Thu, chi PABT'!$L$11:$L$20001,'8. D.kiến thu,chi GPMB nhanh'!$H21,'9. Thu, chi PABT'!$M$11:$M$20001,'8. D.kiến thu,chi GPMB nhanh'!$I21,'9. Thu, chi PABT'!$B$11:$B$20001,'8. D.kiến thu,chi GPMB nhanh'!$C21,'9. Thu, chi PABT'!$F$11:$F$20001,'8. D.kiến thu,chi GPMB nhanh'!$D21,'9. Thu, chi PABT'!$F$11:$F$20001,"&lt;&gt;"&amp;"Tạm ứng",'9. Thu, chi PABT'!$F$11:$F$20001,"&lt;&gt;"&amp;"",'9. Thu, chi PABT'!$R$11:$R$20001,"&lt;"&amp;'8. D.kiến thu,chi GPMB nhanh'!$B21)-SUMIFS('9. Thu, chi PABT'!$U$11:$U$20001,'9. Thu, chi PABT'!$J$11:$J$20001,'8. D.kiến thu,chi GPMB nhanh'!$F21,'9. Thu, chi PABT'!$K$11:$K$20001,'8. D.kiến thu,chi GPMB nhanh'!$G21,'9. Thu, chi PABT'!$L$11:$L$20001,'8. D.kiến thu,chi GPMB nhanh'!$H21,'9. Thu, chi PABT'!$M$11:$M$20001,'8. D.kiến thu,chi GPMB nhanh'!$I21,'9. Thu, chi PABT'!$B$11:$B$20001,'8. D.kiến thu,chi GPMB nhanh'!$C21,'9. Thu, chi PABT'!$F$11:$F$20001,'8. D.kiến thu,chi GPMB nhanh'!$D21,'9. Thu, chi PABT'!$R$11:$R$20001,"&lt;"&amp;'8. D.kiến thu,chi GPMB nhanh'!$B21)</f>
        <v>0</v>
      </c>
      <c r="M21" s="98">
        <f>SUMIFS('6. DS hộ  thu hồi GPMB nhanh'!$I$10:$I$20001,'6. DS hộ  thu hồi GPMB nhanh'!$E$10:$E$20001,'8. D.kiến thu,chi GPMB nhanh'!$F21,'6. DS hộ  thu hồi GPMB nhanh'!$F$10:$F$20001,'8. D.kiến thu,chi GPMB nhanh'!$G21,'6. DS hộ  thu hồi GPMB nhanh'!$G$10:$G$20001,'8. D.kiến thu,chi GPMB nhanh'!$H21,'6. DS hộ  thu hồi GPMB nhanh'!$H$10:$H$20001,'8. D.kiến thu,chi GPMB nhanh'!$I21,'6. DS hộ  thu hồi GPMB nhanh'!$M$10:$M$20001,"Thu hồi",'6. DS hộ  thu hồi GPMB nhanh'!$C$10:$C$20001,'8. D.kiến thu,chi GPMB nhanh'!$C21,'6. DS hộ  thu hồi GPMB nhanh'!$D$10:$D$20001,'8. D.kiến thu,chi GPMB nhanh'!$D21,'6. DS hộ  thu hồi GPMB nhanh'!$B$10:$B$20001,'8. D.kiến thu,chi GPMB nhanh'!$B21)</f>
        <v>0</v>
      </c>
      <c r="N21" s="98">
        <f>SUMIFS('6. DS hộ  thu hồi GPMB nhanh'!$J$10:$J$20002,'6. DS hộ  thu hồi GPMB nhanh'!$E$10:$E$20002,'8. D.kiến thu,chi GPMB nhanh'!$F21,'6. DS hộ  thu hồi GPMB nhanh'!$F$10:$F$20002,'8. D.kiến thu,chi GPMB nhanh'!$G21,'6. DS hộ  thu hồi GPMB nhanh'!$G$10:$G$20002,'8. D.kiến thu,chi GPMB nhanh'!$H21,'6. DS hộ  thu hồi GPMB nhanh'!$H$10:$H$20002,'8. D.kiến thu,chi GPMB nhanh'!$I21,'6. DS hộ  thu hồi GPMB nhanh'!$C$10:$C$20002,'8. D.kiến thu,chi GPMB nhanh'!$C21,'6. DS hộ  thu hồi GPMB nhanh'!$D$10:$D$20002,'8. D.kiến thu,chi GPMB nhanh'!$D21,'6. DS hộ  thu hồi GPMB nhanh'!$B$10:$B$20002,'8. D.kiến thu,chi GPMB nhanh'!$B21,'6. DS hộ  thu hồi GPMB nhanh'!$M$10:$M$20002,"Thu hồi")</f>
        <v>0</v>
      </c>
      <c r="O21" s="125">
        <f t="shared" si="0"/>
        <v>0</v>
      </c>
      <c r="P21" s="124"/>
      <c r="Q21" s="98">
        <f>SUMIFS('9. Thu, chi PABT'!$T$11:$T$20001,'9. Thu, chi PABT'!$J$11:$J$20001,'8. D.kiến thu,chi GPMB nhanh'!$F21,'9. Thu, chi PABT'!$K$11:$K$20001,'8. D.kiến thu,chi GPMB nhanh'!$G21,'9. Thu, chi PABT'!$L$11:$L$20001,'8. D.kiến thu,chi GPMB nhanh'!$H21,'9. Thu, chi PABT'!$M$11:$M$20001,'8. D.kiến thu,chi GPMB nhanh'!$I21,'9. Thu, chi PABT'!$B$11:$B$20001,'8. D.kiến thu,chi GPMB nhanh'!$C21,'9. Thu, chi PABT'!$F$11:$F$20001,'8. D.kiến thu,chi GPMB nhanh'!$D21,'9. Thu, chi PABT'!$R$11:$R$20001,"="&amp;'8. D.kiến thu,chi GPMB nhanh'!$B21)</f>
        <v>0</v>
      </c>
      <c r="R21" s="98">
        <f>SUMIFS('9. Thu, chi PABT'!$U$11:$U$20001,'9. Thu, chi PABT'!$J$11:$J$20001,'8. D.kiến thu,chi GPMB nhanh'!$F21,'9. Thu, chi PABT'!$K$11:$K$20001,'8. D.kiến thu,chi GPMB nhanh'!$G21,'9. Thu, chi PABT'!$L$11:$L$20001,'8. D.kiến thu,chi GPMB nhanh'!$H21,'9. Thu, chi PABT'!$M$11:$M$20001,'8. D.kiến thu,chi GPMB nhanh'!$I21,'9. Thu, chi PABT'!$B$11:$B$20001,'8. D.kiến thu,chi GPMB nhanh'!$C21,'9. Thu, chi PABT'!$F$11:$F$20001,'8. D.kiến thu,chi GPMB nhanh'!$D21,'9. Thu, chi PABT'!$R$11:$R$20001,'8. D.kiến thu,chi GPMB nhanh'!$B21)</f>
        <v>0</v>
      </c>
      <c r="S21" s="41">
        <f t="shared" si="1"/>
        <v>0</v>
      </c>
    </row>
    <row r="22" spans="1:19" x14ac:dyDescent="0.25">
      <c r="A22" s="7"/>
      <c r="B22" s="7"/>
      <c r="C22" s="8"/>
      <c r="D22" s="8"/>
      <c r="E22" s="8"/>
      <c r="F22" s="8"/>
      <c r="G22" s="8"/>
      <c r="H22" s="8"/>
      <c r="I22" s="8"/>
      <c r="J22" s="98">
        <f>SUMIFS('4. C.Tiết P.Án B.Thường'!$O$11:$O$20001,'4. C.Tiết P.Án B.Thường'!$J$11:$J$20001,'8. D.kiến thu,chi GPMB nhanh'!$F22,'4. C.Tiết P.Án B.Thường'!$K$11:$K$20001,'8. D.kiến thu,chi GPMB nhanh'!$G22,'4. C.Tiết P.Án B.Thường'!$L$11:$L$20001,'8. D.kiến thu,chi GPMB nhanh'!$H22,'4. C.Tiết P.Án B.Thường'!$M$11:$M$20001,'8. D.kiến thu,chi GPMB nhanh'!$I22,'4. C.Tiết P.Án B.Thường'!$B$11:$B$20001,'8. D.kiến thu,chi GPMB nhanh'!$C22,'4. C.Tiết P.Án B.Thường'!$F$11:$F$20001,'8. D.kiến thu,chi GPMB nhanh'!$D22,'4. C.Tiết P.Án B.Thường'!$F$11:$F$20001,"&lt;&gt;"&amp;"Tạm ứng",'4. C.Tiết P.Án B.Thường'!$H$11:$H$20001,"",'4. C.Tiết P.Án B.Thường'!$G$11:$G$20001,"&lt;="&amp;'8. D.kiến thu,chi GPMB nhanh'!$B22)+SUMIFS('4. C.Tiết P.Án B.Thường'!$O$11:$O$20001,'4. C.Tiết P.Án B.Thường'!$J$11:$J$20001,'8. D.kiến thu,chi GPMB nhanh'!$F22,'4. C.Tiết P.Án B.Thường'!$K$11:$K$20001,'8. D.kiến thu,chi GPMB nhanh'!$G22,'4. C.Tiết P.Án B.Thường'!$L$11:$L$20001,'8. D.kiến thu,chi GPMB nhanh'!$H22,'4. C.Tiết P.Án B.Thường'!$M$11:$M$20001,'8. D.kiến thu,chi GPMB nhanh'!$I22,'4. C.Tiết P.Án B.Thường'!$B$11:$B$20001,'8. D.kiến thu,chi GPMB nhanh'!$C22,'4. C.Tiết P.Án B.Thường'!$H$11:$H$20001,"&lt;&gt;"&amp;"Tạm ứng",'4. C.Tiết P.Án B.Thường'!$H$11:$H$20001,"&lt;&gt;"&amp;"",'4. C.Tiết P.Án B.Thường'!$I$11:$I$20001,"&lt;="&amp;'8. D.kiến thu,chi GPMB nhanh'!$B22)</f>
        <v>0</v>
      </c>
      <c r="K22" s="98">
        <f>SUMIFS('9. Thu, chi PABT'!$T$11:$T$20001,'9. Thu, chi PABT'!$J$11:$J$20001,'8. D.kiến thu,chi GPMB nhanh'!$F22,'9. Thu, chi PABT'!$K$11:$K$20001,'8. D.kiến thu,chi GPMB nhanh'!$G22,'9. Thu, chi PABT'!$L$11:$L$20001,'8. D.kiến thu,chi GPMB nhanh'!$H22,'9. Thu, chi PABT'!$M$11:$M$20001,'8. D.kiến thu,chi GPMB nhanh'!$I22,'9. Thu, chi PABT'!$B$11:$B$20001,'8. D.kiến thu,chi GPMB nhanh'!$C22,'9. Thu, chi PABT'!$F$11:$F$20001,"Tạm ứng",'9. Thu, chi PABT'!$R$11:$R$20001,"&lt;"&amp;'8. D.kiến thu,chi GPMB nhanh'!$B22)+SUMIFS('9. Thu, chi PABT'!$T$11:$T$20001,'9. Thu, chi PABT'!$J$11:$J$20001,'8. D.kiến thu,chi GPMB nhanh'!$F22,'9. Thu, chi PABT'!$K$11:$K$20001,'8. D.kiến thu,chi GPMB nhanh'!$G22,'9. Thu, chi PABT'!$L$11:$L$20001,'8. D.kiến thu,chi GPMB nhanh'!$H22,'9. Thu, chi PABT'!$M$11:$M$20001,'8. D.kiến thu,chi GPMB nhanh'!$I22,'9. Thu, chi PABT'!$B$11:$B$20001,'8. D.kiến thu,chi GPMB nhanh'!$C22,'9. Thu, chi PABT'!$F$11:$F$20001,'8. D.kiến thu,chi GPMB nhanh'!$D22,'9. Thu, chi PABT'!$H$11:$H$20001,"Tạm ứng",'9. Thu, chi PABT'!$R$11:$R$20001,"&lt;"&amp;'8. D.kiến thu,chi GPMB nhanh'!$B22)</f>
        <v>0</v>
      </c>
      <c r="L22" s="98">
        <f>SUMIFS('9. Thu, chi PABT'!$T$11:$T$20001,'9. Thu, chi PABT'!$J$11:$J$20001,'8. D.kiến thu,chi GPMB nhanh'!$F22,'9. Thu, chi PABT'!$K$11:$K$20001,'8. D.kiến thu,chi GPMB nhanh'!$G22,'9. Thu, chi PABT'!$L$11:$L$20001,'8. D.kiến thu,chi GPMB nhanh'!$H22,'9. Thu, chi PABT'!$M$11:$M$20001,'8. D.kiến thu,chi GPMB nhanh'!$I22,'9. Thu, chi PABT'!$B$11:$B$20001,'8. D.kiến thu,chi GPMB nhanh'!$C22,'9. Thu, chi PABT'!$F$11:$F$20001,'8. D.kiến thu,chi GPMB nhanh'!$D22,'9. Thu, chi PABT'!$F$11:$F$20001,"&lt;&gt;"&amp;"Tạm ứng",'9. Thu, chi PABT'!$F$11:$F$20001,"&lt;&gt;"&amp;"",'9. Thu, chi PABT'!$R$11:$R$20001,"&lt;"&amp;'8. D.kiến thu,chi GPMB nhanh'!$B22)-SUMIFS('9. Thu, chi PABT'!$U$11:$U$20001,'9. Thu, chi PABT'!$J$11:$J$20001,'8. D.kiến thu,chi GPMB nhanh'!$F22,'9. Thu, chi PABT'!$K$11:$K$20001,'8. D.kiến thu,chi GPMB nhanh'!$G22,'9. Thu, chi PABT'!$L$11:$L$20001,'8. D.kiến thu,chi GPMB nhanh'!$H22,'9. Thu, chi PABT'!$M$11:$M$20001,'8. D.kiến thu,chi GPMB nhanh'!$I22,'9. Thu, chi PABT'!$B$11:$B$20001,'8. D.kiến thu,chi GPMB nhanh'!$C22,'9. Thu, chi PABT'!$F$11:$F$20001,'8. D.kiến thu,chi GPMB nhanh'!$D22,'9. Thu, chi PABT'!$R$11:$R$20001,"&lt;"&amp;'8. D.kiến thu,chi GPMB nhanh'!$B22)</f>
        <v>0</v>
      </c>
      <c r="M22" s="98">
        <f>SUMIFS('6. DS hộ  thu hồi GPMB nhanh'!$I$10:$I$20001,'6. DS hộ  thu hồi GPMB nhanh'!$E$10:$E$20001,'8. D.kiến thu,chi GPMB nhanh'!$F22,'6. DS hộ  thu hồi GPMB nhanh'!$F$10:$F$20001,'8. D.kiến thu,chi GPMB nhanh'!$G22,'6. DS hộ  thu hồi GPMB nhanh'!$G$10:$G$20001,'8. D.kiến thu,chi GPMB nhanh'!$H22,'6. DS hộ  thu hồi GPMB nhanh'!$H$10:$H$20001,'8. D.kiến thu,chi GPMB nhanh'!$I22,'6. DS hộ  thu hồi GPMB nhanh'!$M$10:$M$20001,"Thu hồi",'6. DS hộ  thu hồi GPMB nhanh'!$C$10:$C$20001,'8. D.kiến thu,chi GPMB nhanh'!$C22,'6. DS hộ  thu hồi GPMB nhanh'!$D$10:$D$20001,'8. D.kiến thu,chi GPMB nhanh'!$D22,'6. DS hộ  thu hồi GPMB nhanh'!$B$10:$B$20001,'8. D.kiến thu,chi GPMB nhanh'!$B22)</f>
        <v>0</v>
      </c>
      <c r="N22" s="98">
        <f>SUMIFS('6. DS hộ  thu hồi GPMB nhanh'!$J$10:$J$20002,'6. DS hộ  thu hồi GPMB nhanh'!$E$10:$E$20002,'8. D.kiến thu,chi GPMB nhanh'!$F22,'6. DS hộ  thu hồi GPMB nhanh'!$F$10:$F$20002,'8. D.kiến thu,chi GPMB nhanh'!$G22,'6. DS hộ  thu hồi GPMB nhanh'!$G$10:$G$20002,'8. D.kiến thu,chi GPMB nhanh'!$H22,'6. DS hộ  thu hồi GPMB nhanh'!$H$10:$H$20002,'8. D.kiến thu,chi GPMB nhanh'!$I22,'6. DS hộ  thu hồi GPMB nhanh'!$C$10:$C$20002,'8. D.kiến thu,chi GPMB nhanh'!$C22,'6. DS hộ  thu hồi GPMB nhanh'!$D$10:$D$20002,'8. D.kiến thu,chi GPMB nhanh'!$D22,'6. DS hộ  thu hồi GPMB nhanh'!$B$10:$B$20002,'8. D.kiến thu,chi GPMB nhanh'!$B22,'6. DS hộ  thu hồi GPMB nhanh'!$M$10:$M$20002,"Thu hồi")</f>
        <v>0</v>
      </c>
      <c r="O22" s="125">
        <f t="shared" si="0"/>
        <v>0</v>
      </c>
      <c r="P22" s="124"/>
      <c r="Q22" s="98">
        <f>SUMIFS('9. Thu, chi PABT'!$T$11:$T$20001,'9. Thu, chi PABT'!$J$11:$J$20001,'8. D.kiến thu,chi GPMB nhanh'!$F22,'9. Thu, chi PABT'!$K$11:$K$20001,'8. D.kiến thu,chi GPMB nhanh'!$G22,'9. Thu, chi PABT'!$L$11:$L$20001,'8. D.kiến thu,chi GPMB nhanh'!$H22,'9. Thu, chi PABT'!$M$11:$M$20001,'8. D.kiến thu,chi GPMB nhanh'!$I22,'9. Thu, chi PABT'!$B$11:$B$20001,'8. D.kiến thu,chi GPMB nhanh'!$C22,'9. Thu, chi PABT'!$F$11:$F$20001,'8. D.kiến thu,chi GPMB nhanh'!$D22,'9. Thu, chi PABT'!$R$11:$R$20001,"="&amp;'8. D.kiến thu,chi GPMB nhanh'!$B22)</f>
        <v>0</v>
      </c>
      <c r="R22" s="98">
        <f>SUMIFS('9. Thu, chi PABT'!$U$11:$U$20001,'9. Thu, chi PABT'!$J$11:$J$20001,'8. D.kiến thu,chi GPMB nhanh'!$F22,'9. Thu, chi PABT'!$K$11:$K$20001,'8. D.kiến thu,chi GPMB nhanh'!$G22,'9. Thu, chi PABT'!$L$11:$L$20001,'8. D.kiến thu,chi GPMB nhanh'!$H22,'9. Thu, chi PABT'!$M$11:$M$20001,'8. D.kiến thu,chi GPMB nhanh'!$I22,'9. Thu, chi PABT'!$B$11:$B$20001,'8. D.kiến thu,chi GPMB nhanh'!$C22,'9. Thu, chi PABT'!$F$11:$F$20001,'8. D.kiến thu,chi GPMB nhanh'!$D22,'9. Thu, chi PABT'!$R$11:$R$20001,'8. D.kiến thu,chi GPMB nhanh'!$B22)</f>
        <v>0</v>
      </c>
      <c r="S22" s="41">
        <f t="shared" si="1"/>
        <v>0</v>
      </c>
    </row>
    <row r="23" spans="1:19" x14ac:dyDescent="0.25">
      <c r="A23" s="7"/>
      <c r="B23" s="7"/>
      <c r="C23" s="8"/>
      <c r="D23" s="8"/>
      <c r="E23" s="8"/>
      <c r="F23" s="8"/>
      <c r="G23" s="8"/>
      <c r="H23" s="8"/>
      <c r="I23" s="8"/>
      <c r="J23" s="98">
        <f>SUMIFS('4. C.Tiết P.Án B.Thường'!$O$11:$O$20001,'4. C.Tiết P.Án B.Thường'!$J$11:$J$20001,'8. D.kiến thu,chi GPMB nhanh'!$F23,'4. C.Tiết P.Án B.Thường'!$K$11:$K$20001,'8. D.kiến thu,chi GPMB nhanh'!$G23,'4. C.Tiết P.Án B.Thường'!$L$11:$L$20001,'8. D.kiến thu,chi GPMB nhanh'!$H23,'4. C.Tiết P.Án B.Thường'!$M$11:$M$20001,'8. D.kiến thu,chi GPMB nhanh'!$I23,'4. C.Tiết P.Án B.Thường'!$B$11:$B$20001,'8. D.kiến thu,chi GPMB nhanh'!$C23,'4. C.Tiết P.Án B.Thường'!$F$11:$F$20001,'8. D.kiến thu,chi GPMB nhanh'!$D23,'4. C.Tiết P.Án B.Thường'!$F$11:$F$20001,"&lt;&gt;"&amp;"Tạm ứng",'4. C.Tiết P.Án B.Thường'!$H$11:$H$20001,"",'4. C.Tiết P.Án B.Thường'!$G$11:$G$20001,"&lt;="&amp;'8. D.kiến thu,chi GPMB nhanh'!$B23)+SUMIFS('4. C.Tiết P.Án B.Thường'!$O$11:$O$20001,'4. C.Tiết P.Án B.Thường'!$J$11:$J$20001,'8. D.kiến thu,chi GPMB nhanh'!$F23,'4. C.Tiết P.Án B.Thường'!$K$11:$K$20001,'8. D.kiến thu,chi GPMB nhanh'!$G23,'4. C.Tiết P.Án B.Thường'!$L$11:$L$20001,'8. D.kiến thu,chi GPMB nhanh'!$H23,'4. C.Tiết P.Án B.Thường'!$M$11:$M$20001,'8. D.kiến thu,chi GPMB nhanh'!$I23,'4. C.Tiết P.Án B.Thường'!$B$11:$B$20001,'8. D.kiến thu,chi GPMB nhanh'!$C23,'4. C.Tiết P.Án B.Thường'!$H$11:$H$20001,"&lt;&gt;"&amp;"Tạm ứng",'4. C.Tiết P.Án B.Thường'!$H$11:$H$20001,"&lt;&gt;"&amp;"",'4. C.Tiết P.Án B.Thường'!$I$11:$I$20001,"&lt;="&amp;'8. D.kiến thu,chi GPMB nhanh'!$B23)</f>
        <v>0</v>
      </c>
      <c r="K23" s="98">
        <f>SUMIFS('9. Thu, chi PABT'!$T$11:$T$20001,'9. Thu, chi PABT'!$J$11:$J$20001,'8. D.kiến thu,chi GPMB nhanh'!$F23,'9. Thu, chi PABT'!$K$11:$K$20001,'8. D.kiến thu,chi GPMB nhanh'!$G23,'9. Thu, chi PABT'!$L$11:$L$20001,'8. D.kiến thu,chi GPMB nhanh'!$H23,'9. Thu, chi PABT'!$M$11:$M$20001,'8. D.kiến thu,chi GPMB nhanh'!$I23,'9. Thu, chi PABT'!$B$11:$B$20001,'8. D.kiến thu,chi GPMB nhanh'!$C23,'9. Thu, chi PABT'!$F$11:$F$20001,"Tạm ứng",'9. Thu, chi PABT'!$R$11:$R$20001,"&lt;"&amp;'8. D.kiến thu,chi GPMB nhanh'!$B23)+SUMIFS('9. Thu, chi PABT'!$T$11:$T$20001,'9. Thu, chi PABT'!$J$11:$J$20001,'8. D.kiến thu,chi GPMB nhanh'!$F23,'9. Thu, chi PABT'!$K$11:$K$20001,'8. D.kiến thu,chi GPMB nhanh'!$G23,'9. Thu, chi PABT'!$L$11:$L$20001,'8. D.kiến thu,chi GPMB nhanh'!$H23,'9. Thu, chi PABT'!$M$11:$M$20001,'8. D.kiến thu,chi GPMB nhanh'!$I23,'9. Thu, chi PABT'!$B$11:$B$20001,'8. D.kiến thu,chi GPMB nhanh'!$C23,'9. Thu, chi PABT'!$F$11:$F$20001,'8. D.kiến thu,chi GPMB nhanh'!$D23,'9. Thu, chi PABT'!$H$11:$H$20001,"Tạm ứng",'9. Thu, chi PABT'!$R$11:$R$20001,"&lt;"&amp;'8. D.kiến thu,chi GPMB nhanh'!$B23)</f>
        <v>0</v>
      </c>
      <c r="L23" s="98">
        <f>SUMIFS('9. Thu, chi PABT'!$T$11:$T$20001,'9. Thu, chi PABT'!$J$11:$J$20001,'8. D.kiến thu,chi GPMB nhanh'!$F23,'9. Thu, chi PABT'!$K$11:$K$20001,'8. D.kiến thu,chi GPMB nhanh'!$G23,'9. Thu, chi PABT'!$L$11:$L$20001,'8. D.kiến thu,chi GPMB nhanh'!$H23,'9. Thu, chi PABT'!$M$11:$M$20001,'8. D.kiến thu,chi GPMB nhanh'!$I23,'9. Thu, chi PABT'!$B$11:$B$20001,'8. D.kiến thu,chi GPMB nhanh'!$C23,'9. Thu, chi PABT'!$F$11:$F$20001,'8. D.kiến thu,chi GPMB nhanh'!$D23,'9. Thu, chi PABT'!$F$11:$F$20001,"&lt;&gt;"&amp;"Tạm ứng",'9. Thu, chi PABT'!$F$11:$F$20001,"&lt;&gt;"&amp;"",'9. Thu, chi PABT'!$R$11:$R$20001,"&lt;"&amp;'8. D.kiến thu,chi GPMB nhanh'!$B23)-SUMIFS('9. Thu, chi PABT'!$U$11:$U$20001,'9. Thu, chi PABT'!$J$11:$J$20001,'8. D.kiến thu,chi GPMB nhanh'!$F23,'9. Thu, chi PABT'!$K$11:$K$20001,'8. D.kiến thu,chi GPMB nhanh'!$G23,'9. Thu, chi PABT'!$L$11:$L$20001,'8. D.kiến thu,chi GPMB nhanh'!$H23,'9. Thu, chi PABT'!$M$11:$M$20001,'8. D.kiến thu,chi GPMB nhanh'!$I23,'9. Thu, chi PABT'!$B$11:$B$20001,'8. D.kiến thu,chi GPMB nhanh'!$C23,'9. Thu, chi PABT'!$F$11:$F$20001,'8. D.kiến thu,chi GPMB nhanh'!$D23,'9. Thu, chi PABT'!$R$11:$R$20001,"&lt;"&amp;'8. D.kiến thu,chi GPMB nhanh'!$B23)</f>
        <v>0</v>
      </c>
      <c r="M23" s="98">
        <f>SUMIFS('6. DS hộ  thu hồi GPMB nhanh'!$I$10:$I$20001,'6. DS hộ  thu hồi GPMB nhanh'!$E$10:$E$20001,'8. D.kiến thu,chi GPMB nhanh'!$F23,'6. DS hộ  thu hồi GPMB nhanh'!$F$10:$F$20001,'8. D.kiến thu,chi GPMB nhanh'!$G23,'6. DS hộ  thu hồi GPMB nhanh'!$G$10:$G$20001,'8. D.kiến thu,chi GPMB nhanh'!$H23,'6. DS hộ  thu hồi GPMB nhanh'!$H$10:$H$20001,'8. D.kiến thu,chi GPMB nhanh'!$I23,'6. DS hộ  thu hồi GPMB nhanh'!$M$10:$M$20001,"Thu hồi",'6. DS hộ  thu hồi GPMB nhanh'!$C$10:$C$20001,'8. D.kiến thu,chi GPMB nhanh'!$C23,'6. DS hộ  thu hồi GPMB nhanh'!$D$10:$D$20001,'8. D.kiến thu,chi GPMB nhanh'!$D23,'6. DS hộ  thu hồi GPMB nhanh'!$B$10:$B$20001,'8. D.kiến thu,chi GPMB nhanh'!$B23)</f>
        <v>0</v>
      </c>
      <c r="N23" s="98">
        <f>SUMIFS('6. DS hộ  thu hồi GPMB nhanh'!$J$10:$J$20002,'6. DS hộ  thu hồi GPMB nhanh'!$E$10:$E$20002,'8. D.kiến thu,chi GPMB nhanh'!$F23,'6. DS hộ  thu hồi GPMB nhanh'!$F$10:$F$20002,'8. D.kiến thu,chi GPMB nhanh'!$G23,'6. DS hộ  thu hồi GPMB nhanh'!$G$10:$G$20002,'8. D.kiến thu,chi GPMB nhanh'!$H23,'6. DS hộ  thu hồi GPMB nhanh'!$H$10:$H$20002,'8. D.kiến thu,chi GPMB nhanh'!$I23,'6. DS hộ  thu hồi GPMB nhanh'!$C$10:$C$20002,'8. D.kiến thu,chi GPMB nhanh'!$C23,'6. DS hộ  thu hồi GPMB nhanh'!$D$10:$D$20002,'8. D.kiến thu,chi GPMB nhanh'!$D23,'6. DS hộ  thu hồi GPMB nhanh'!$B$10:$B$20002,'8. D.kiến thu,chi GPMB nhanh'!$B23,'6. DS hộ  thu hồi GPMB nhanh'!$M$10:$M$20002,"Thu hồi")</f>
        <v>0</v>
      </c>
      <c r="O23" s="125">
        <f t="shared" si="0"/>
        <v>0</v>
      </c>
      <c r="P23" s="124"/>
      <c r="Q23" s="98">
        <f>SUMIFS('9. Thu, chi PABT'!$T$11:$T$20001,'9. Thu, chi PABT'!$J$11:$J$20001,'8. D.kiến thu,chi GPMB nhanh'!$F23,'9. Thu, chi PABT'!$K$11:$K$20001,'8. D.kiến thu,chi GPMB nhanh'!$G23,'9. Thu, chi PABT'!$L$11:$L$20001,'8. D.kiến thu,chi GPMB nhanh'!$H23,'9. Thu, chi PABT'!$M$11:$M$20001,'8. D.kiến thu,chi GPMB nhanh'!$I23,'9. Thu, chi PABT'!$B$11:$B$20001,'8. D.kiến thu,chi GPMB nhanh'!$C23,'9. Thu, chi PABT'!$F$11:$F$20001,'8. D.kiến thu,chi GPMB nhanh'!$D23,'9. Thu, chi PABT'!$R$11:$R$20001,"="&amp;'8. D.kiến thu,chi GPMB nhanh'!$B23)</f>
        <v>0</v>
      </c>
      <c r="R23" s="98">
        <f>SUMIFS('9. Thu, chi PABT'!$U$11:$U$20001,'9. Thu, chi PABT'!$J$11:$J$20001,'8. D.kiến thu,chi GPMB nhanh'!$F23,'9. Thu, chi PABT'!$K$11:$K$20001,'8. D.kiến thu,chi GPMB nhanh'!$G23,'9. Thu, chi PABT'!$L$11:$L$20001,'8. D.kiến thu,chi GPMB nhanh'!$H23,'9. Thu, chi PABT'!$M$11:$M$20001,'8. D.kiến thu,chi GPMB nhanh'!$I23,'9. Thu, chi PABT'!$B$11:$B$20001,'8. D.kiến thu,chi GPMB nhanh'!$C23,'9. Thu, chi PABT'!$F$11:$F$20001,'8. D.kiến thu,chi GPMB nhanh'!$D23,'9. Thu, chi PABT'!$R$11:$R$20001,'8. D.kiến thu,chi GPMB nhanh'!$B23)</f>
        <v>0</v>
      </c>
      <c r="S23" s="41">
        <f t="shared" si="1"/>
        <v>0</v>
      </c>
    </row>
  </sheetData>
  <mergeCells count="4">
    <mergeCell ref="A1:G1"/>
    <mergeCell ref="A2:G2"/>
    <mergeCell ref="A4:S4"/>
    <mergeCell ref="F8:I8"/>
  </mergeCells>
  <dataValidations count="7">
    <dataValidation type="list" allowBlank="1" showInputMessage="1" showErrorMessage="1" sqref="E9:E23" xr:uid="{3B0F93D3-1E0D-4A94-B102-CBF5EF823ADA}">
      <formula1>D.KIENCHIGPMBNHANH_QĐ_GPMBNHANH_Điều_Chỉnh</formula1>
    </dataValidation>
    <dataValidation type="list" allowBlank="1" showInputMessage="1" showErrorMessage="1" sqref="F9:F23" xr:uid="{92D59EC3-8323-4FE0-B3C4-CDA53F899AD3}">
      <formula1>D.KIENCHIGPMBNHANH_Họ_Tên</formula1>
    </dataValidation>
    <dataValidation type="list" allowBlank="1" showInputMessage="1" showErrorMessage="1" sqref="G9:G23" xr:uid="{98EE78BB-D780-48E6-90EE-96C3D21231D2}">
      <formula1>D.KIENCHIGPMBNHANH_Xã</formula1>
    </dataValidation>
    <dataValidation type="list" allowBlank="1" showInputMessage="1" showErrorMessage="1" sqref="H9:H23" xr:uid="{529F8B56-540E-45C2-92D2-BCC873985F81}">
      <formula1>D.KIENCHIGPMBNHANH_Thôn_Khu</formula1>
    </dataValidation>
    <dataValidation type="list" allowBlank="1" showInputMessage="1" showErrorMessage="1" sqref="I9:I23" xr:uid="{FDAB3F05-718C-4933-9BAB-CD8D374CFD0D}">
      <formula1>D.KIENCHIGPMBNHANH_CMT_CCCD</formula1>
    </dataValidation>
    <dataValidation type="list" allowBlank="1" showInputMessage="1" showErrorMessage="1" sqref="C9:C23" xr:uid="{D7725632-6611-4BB4-8506-272F1018025E}">
      <formula1>Số_QĐ_phương_án_bồi_thường_gốc</formula1>
    </dataValidation>
    <dataValidation type="list" allowBlank="1" showInputMessage="1" showErrorMessage="1" sqref="D9:D23" xr:uid="{86EEB8B8-AA38-439A-852E-5C546B748254}">
      <formula1>D.KIENCHIGPMBNHANH_GPMBNHANH_Gốc</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3474-12A2-4764-8F89-EF381A1F2305}">
  <sheetPr>
    <tabColor rgb="FFFF0000"/>
  </sheetPr>
  <dimension ref="A1:O16"/>
  <sheetViews>
    <sheetView workbookViewId="0">
      <selection activeCell="N15" sqref="N15"/>
    </sheetView>
  </sheetViews>
  <sheetFormatPr defaultColWidth="8.85546875" defaultRowHeight="12.75" x14ac:dyDescent="0.25"/>
  <cols>
    <col min="1" max="1" width="9" style="16" bestFit="1" customWidth="1"/>
    <col min="2" max="2" width="23.42578125" style="16" customWidth="1"/>
    <col min="3" max="3" width="15.7109375" style="16" customWidth="1"/>
    <col min="4" max="4" width="4" style="16" customWidth="1"/>
    <col min="5" max="5" width="6.5703125" style="16" customWidth="1"/>
    <col min="6" max="6" width="15.85546875" style="16" customWidth="1"/>
    <col min="7" max="7" width="15.7109375" style="16" customWidth="1"/>
    <col min="8" max="8" width="4" style="16" customWidth="1"/>
    <col min="9" max="9" width="6.5703125" style="16" customWidth="1"/>
    <col min="10" max="10" width="19.42578125" style="16" bestFit="1" customWidth="1"/>
    <col min="11" max="11" width="15.7109375" style="16" customWidth="1"/>
    <col min="12" max="12" width="4" style="16" customWidth="1"/>
    <col min="13" max="13" width="6.5703125" style="16" customWidth="1"/>
    <col min="14" max="14" width="15.85546875" style="16" customWidth="1"/>
    <col min="15" max="15" width="15.7109375" style="16" customWidth="1"/>
    <col min="16" max="16" width="4" style="16" customWidth="1"/>
    <col min="17" max="16384" width="8.85546875" style="16"/>
  </cols>
  <sheetData>
    <row r="1" spans="1:15" ht="15.6" customHeight="1" x14ac:dyDescent="0.25">
      <c r="A1" s="168" t="s">
        <v>9</v>
      </c>
      <c r="B1" s="168"/>
      <c r="C1" s="168"/>
      <c r="D1" s="168"/>
      <c r="E1" s="168"/>
      <c r="F1" s="168"/>
    </row>
    <row r="2" spans="1:15" ht="15.6" customHeight="1" x14ac:dyDescent="0.25">
      <c r="A2" s="168" t="s">
        <v>10</v>
      </c>
      <c r="B2" s="168"/>
      <c r="C2" s="168"/>
      <c r="D2" s="168"/>
      <c r="E2" s="168"/>
      <c r="F2" s="168"/>
    </row>
    <row r="4" spans="1:15" x14ac:dyDescent="0.25">
      <c r="A4" s="169" t="s">
        <v>259</v>
      </c>
      <c r="B4" s="169"/>
      <c r="C4" s="169"/>
      <c r="D4" s="169"/>
      <c r="E4" s="169"/>
      <c r="F4" s="169"/>
      <c r="G4" s="169"/>
      <c r="H4" s="169"/>
      <c r="I4" s="169"/>
      <c r="J4" s="169"/>
      <c r="K4" s="169"/>
      <c r="L4" s="169"/>
      <c r="M4" s="169"/>
      <c r="N4" s="169"/>
      <c r="O4" s="169"/>
    </row>
    <row r="6" spans="1:15" ht="36.6" customHeight="1" x14ac:dyDescent="0.25">
      <c r="A6" s="74" t="s">
        <v>0</v>
      </c>
      <c r="B6" s="75" t="s">
        <v>200</v>
      </c>
      <c r="C6" s="76" t="s">
        <v>185</v>
      </c>
      <c r="E6" s="74" t="s">
        <v>0</v>
      </c>
      <c r="F6" s="75" t="s">
        <v>12</v>
      </c>
      <c r="G6" s="76" t="s">
        <v>1</v>
      </c>
      <c r="I6" s="74" t="s">
        <v>0</v>
      </c>
      <c r="J6" s="75" t="s">
        <v>69</v>
      </c>
      <c r="K6" s="76" t="s">
        <v>184</v>
      </c>
      <c r="L6" s="13"/>
      <c r="M6" s="74" t="s">
        <v>0</v>
      </c>
      <c r="N6" s="75" t="s">
        <v>2</v>
      </c>
      <c r="O6" s="76" t="s">
        <v>1</v>
      </c>
    </row>
    <row r="7" spans="1:15" x14ac:dyDescent="0.25">
      <c r="A7" s="77"/>
      <c r="B7" s="80" t="s">
        <v>136</v>
      </c>
      <c r="C7" s="78"/>
      <c r="E7" s="77"/>
      <c r="F7" s="7"/>
      <c r="G7" s="78"/>
      <c r="I7" s="77"/>
      <c r="J7" s="80" t="s">
        <v>136</v>
      </c>
      <c r="K7" s="78"/>
      <c r="M7" s="77"/>
      <c r="N7" s="7">
        <v>500</v>
      </c>
      <c r="O7" s="78">
        <v>45296</v>
      </c>
    </row>
    <row r="8" spans="1:15" x14ac:dyDescent="0.25">
      <c r="A8" s="77"/>
      <c r="B8" s="7">
        <v>100</v>
      </c>
      <c r="C8" s="78">
        <v>45296</v>
      </c>
      <c r="E8" s="77"/>
      <c r="F8" s="7"/>
      <c r="G8" s="78"/>
      <c r="I8" s="77"/>
      <c r="J8" s="7">
        <v>200</v>
      </c>
      <c r="K8" s="78">
        <v>45301</v>
      </c>
      <c r="M8" s="77"/>
      <c r="N8" s="7">
        <v>501</v>
      </c>
      <c r="O8" s="78">
        <v>45327</v>
      </c>
    </row>
    <row r="9" spans="1:15" x14ac:dyDescent="0.25">
      <c r="A9" s="77"/>
      <c r="B9" s="7">
        <v>110</v>
      </c>
      <c r="C9" s="78">
        <v>45327</v>
      </c>
      <c r="E9" s="77"/>
      <c r="F9" s="7"/>
      <c r="G9" s="78"/>
      <c r="I9" s="77"/>
      <c r="J9" s="7">
        <v>210</v>
      </c>
      <c r="K9" s="78">
        <v>45337</v>
      </c>
      <c r="M9" s="77"/>
      <c r="N9" s="7">
        <v>502</v>
      </c>
      <c r="O9" s="78">
        <v>45356</v>
      </c>
    </row>
    <row r="10" spans="1:15" x14ac:dyDescent="0.25">
      <c r="A10" s="77"/>
      <c r="B10" s="7">
        <v>120</v>
      </c>
      <c r="C10" s="78">
        <v>45356</v>
      </c>
      <c r="E10" s="77"/>
      <c r="F10" s="7"/>
      <c r="G10" s="78"/>
      <c r="I10" s="77"/>
      <c r="J10" s="7">
        <v>220</v>
      </c>
      <c r="K10" s="78">
        <v>45361</v>
      </c>
      <c r="M10" s="77"/>
      <c r="N10" s="7">
        <v>503</v>
      </c>
      <c r="O10" s="78">
        <v>45387</v>
      </c>
    </row>
    <row r="11" spans="1:15" x14ac:dyDescent="0.25">
      <c r="A11" s="77"/>
      <c r="B11" s="7">
        <v>130</v>
      </c>
      <c r="C11" s="78">
        <v>45387</v>
      </c>
      <c r="E11" s="77"/>
      <c r="F11" s="7"/>
      <c r="G11" s="78"/>
      <c r="I11" s="77"/>
      <c r="J11" s="7">
        <v>230</v>
      </c>
      <c r="K11" s="78">
        <v>45392</v>
      </c>
      <c r="M11" s="77"/>
      <c r="N11" s="7">
        <v>504</v>
      </c>
      <c r="O11" s="78">
        <v>45417</v>
      </c>
    </row>
    <row r="12" spans="1:15" x14ac:dyDescent="0.25">
      <c r="A12" s="79"/>
      <c r="B12" s="80">
        <v>140</v>
      </c>
      <c r="C12" s="78">
        <v>45417</v>
      </c>
      <c r="E12" s="79"/>
      <c r="F12" s="80"/>
      <c r="G12" s="78"/>
      <c r="I12" s="79"/>
      <c r="J12" s="80">
        <v>240</v>
      </c>
      <c r="K12" s="78">
        <v>45422</v>
      </c>
      <c r="M12" s="79"/>
      <c r="N12" s="80"/>
      <c r="O12" s="81"/>
    </row>
    <row r="13" spans="1:15" x14ac:dyDescent="0.25">
      <c r="A13" s="79"/>
      <c r="B13" s="80"/>
      <c r="C13" s="78"/>
      <c r="I13" s="79"/>
      <c r="J13" s="80"/>
      <c r="K13" s="78"/>
    </row>
    <row r="15" spans="1:15" ht="25.5" x14ac:dyDescent="0.25">
      <c r="A15" s="16" t="s">
        <v>303</v>
      </c>
      <c r="B15" s="16" t="s">
        <v>300</v>
      </c>
      <c r="F15" s="16" t="s">
        <v>304</v>
      </c>
      <c r="J15" s="16" t="s">
        <v>307</v>
      </c>
      <c r="N15" s="16" t="s">
        <v>310</v>
      </c>
    </row>
    <row r="16" spans="1:15" ht="25.5" x14ac:dyDescent="0.25">
      <c r="B16" s="16" t="s">
        <v>302</v>
      </c>
      <c r="C16" s="16" t="s">
        <v>301</v>
      </c>
      <c r="F16" s="16" t="s">
        <v>305</v>
      </c>
      <c r="G16" s="16" t="s">
        <v>306</v>
      </c>
      <c r="J16" s="16" t="s">
        <v>308</v>
      </c>
      <c r="K16" s="16" t="s">
        <v>309</v>
      </c>
      <c r="N16" s="16" t="s">
        <v>311</v>
      </c>
      <c r="O16" s="16" t="s">
        <v>306</v>
      </c>
    </row>
  </sheetData>
  <mergeCells count="3">
    <mergeCell ref="A1:F1"/>
    <mergeCell ref="A2:F2"/>
    <mergeCell ref="A4:O4"/>
  </mergeCells>
  <pageMargins left="0.7" right="0.7" top="0.75" bottom="0.75" header="0.3" footer="0.3"/>
  <tableParts count="4">
    <tablePart r:id="rId1"/>
    <tablePart r:id="rId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E01CA-DFD8-42A2-ACC9-74168F5A7ED8}">
  <sheetPr>
    <tabColor rgb="FFFF0000"/>
  </sheetPr>
  <dimension ref="A1:U36"/>
  <sheetViews>
    <sheetView topLeftCell="B4" zoomScale="90" zoomScaleNormal="90" workbookViewId="0">
      <selection activeCell="U9" sqref="U9"/>
    </sheetView>
  </sheetViews>
  <sheetFormatPr defaultColWidth="8.85546875" defaultRowHeight="12.75" x14ac:dyDescent="0.25"/>
  <cols>
    <col min="1" max="1" width="5.7109375" style="16" customWidth="1"/>
    <col min="2" max="2" width="12.28515625" style="13" customWidth="1"/>
    <col min="3" max="3" width="12.28515625" style="26" customWidth="1"/>
    <col min="4" max="4" width="12.28515625" style="13" customWidth="1"/>
    <col min="5" max="5" width="12.28515625" style="26" customWidth="1"/>
    <col min="6" max="9" width="12.28515625" style="13" customWidth="1"/>
    <col min="10" max="10" width="20.42578125" style="13" customWidth="1"/>
    <col min="11" max="12" width="13" style="13" customWidth="1"/>
    <col min="13" max="13" width="15.85546875" style="13" customWidth="1"/>
    <col min="14" max="16" width="13" style="13" customWidth="1"/>
    <col min="17" max="17" width="29.7109375" style="16" customWidth="1"/>
    <col min="18" max="18" width="11.140625" style="17" customWidth="1"/>
    <col min="19" max="19" width="12.140625" style="51" customWidth="1"/>
    <col min="20" max="21" width="18.85546875" style="51" customWidth="1"/>
    <col min="22" max="16384" width="8.85546875" style="16"/>
  </cols>
  <sheetData>
    <row r="1" spans="1:21" ht="15.6" customHeight="1" x14ac:dyDescent="0.25">
      <c r="A1" s="168" t="s">
        <v>9</v>
      </c>
      <c r="B1" s="168"/>
      <c r="C1" s="168"/>
      <c r="D1" s="168"/>
      <c r="E1" s="168"/>
      <c r="F1" s="49"/>
      <c r="G1" s="49"/>
      <c r="H1" s="49"/>
      <c r="I1" s="49"/>
      <c r="J1" s="49"/>
      <c r="K1" s="49"/>
      <c r="L1" s="49"/>
      <c r="M1" s="1"/>
      <c r="N1" s="1"/>
      <c r="O1" s="35"/>
      <c r="P1" s="14"/>
      <c r="Q1" s="15"/>
      <c r="R1" s="26"/>
    </row>
    <row r="2" spans="1:21" ht="15.6" customHeight="1" x14ac:dyDescent="0.25">
      <c r="A2" s="168" t="s">
        <v>10</v>
      </c>
      <c r="B2" s="168"/>
      <c r="C2" s="168"/>
      <c r="D2" s="168"/>
      <c r="E2" s="168"/>
      <c r="F2" s="49"/>
      <c r="G2" s="49"/>
      <c r="H2" s="49"/>
      <c r="I2" s="49"/>
      <c r="J2" s="49"/>
      <c r="K2" s="49"/>
      <c r="L2" s="49"/>
      <c r="M2" s="1"/>
      <c r="N2" s="1"/>
      <c r="O2" s="35"/>
      <c r="P2" s="14"/>
      <c r="Q2" s="15"/>
      <c r="R2" s="26"/>
    </row>
    <row r="3" spans="1:21" ht="15.75" x14ac:dyDescent="0.25">
      <c r="A3" s="2"/>
      <c r="B3" s="1"/>
      <c r="C3" s="20"/>
      <c r="D3" s="1"/>
      <c r="E3" s="20"/>
      <c r="F3" s="1"/>
      <c r="G3" s="1"/>
      <c r="H3" s="1"/>
      <c r="I3" s="1"/>
      <c r="J3" s="1"/>
      <c r="K3" s="20"/>
      <c r="L3" s="21"/>
      <c r="M3" s="21"/>
      <c r="N3" s="62"/>
      <c r="O3" s="68"/>
      <c r="P3" s="22"/>
      <c r="Q3" s="19"/>
      <c r="R3" s="120"/>
    </row>
    <row r="4" spans="1:21" ht="33" customHeight="1" x14ac:dyDescent="0.25">
      <c r="A4" s="168" t="s">
        <v>216</v>
      </c>
      <c r="B4" s="168"/>
      <c r="C4" s="168"/>
      <c r="D4" s="168"/>
      <c r="E4" s="168"/>
      <c r="F4" s="168"/>
      <c r="G4" s="168"/>
      <c r="H4" s="168"/>
      <c r="I4" s="168"/>
      <c r="J4" s="168"/>
      <c r="K4" s="168"/>
      <c r="L4" s="168"/>
      <c r="M4" s="168"/>
      <c r="N4" s="168"/>
      <c r="O4" s="168"/>
      <c r="P4" s="168"/>
      <c r="Q4" s="43"/>
      <c r="R4" s="121"/>
      <c r="S4" s="56"/>
      <c r="T4" s="56"/>
      <c r="U4" s="56"/>
    </row>
    <row r="5" spans="1:21" x14ac:dyDescent="0.25">
      <c r="N5" s="29"/>
      <c r="Q5" s="13"/>
    </row>
    <row r="6" spans="1:21" ht="30.6" customHeight="1" x14ac:dyDescent="0.25">
      <c r="A6" s="174" t="s">
        <v>70</v>
      </c>
      <c r="B6" s="175"/>
      <c r="C6" s="175"/>
      <c r="D6" s="175"/>
      <c r="E6" s="175"/>
      <c r="F6" s="175" t="s">
        <v>60</v>
      </c>
      <c r="G6" s="175"/>
      <c r="H6" s="175"/>
      <c r="I6" s="183"/>
      <c r="J6" s="181" t="s">
        <v>40</v>
      </c>
      <c r="K6" s="181"/>
      <c r="L6" s="181"/>
      <c r="M6" s="181"/>
      <c r="N6" s="199" t="s">
        <v>65</v>
      </c>
      <c r="O6" s="199"/>
      <c r="P6" s="199"/>
      <c r="Q6" s="199"/>
      <c r="R6" s="199"/>
      <c r="S6" s="199"/>
      <c r="T6" s="199"/>
      <c r="U6" s="199"/>
    </row>
    <row r="7" spans="1:21" ht="54" customHeight="1" x14ac:dyDescent="0.25">
      <c r="A7" s="8" t="s">
        <v>0</v>
      </c>
      <c r="B7" s="5" t="s">
        <v>200</v>
      </c>
      <c r="C7" s="6" t="s">
        <v>1</v>
      </c>
      <c r="D7" s="5" t="s">
        <v>75</v>
      </c>
      <c r="E7" s="6" t="s">
        <v>1</v>
      </c>
      <c r="F7" s="5" t="s">
        <v>69</v>
      </c>
      <c r="G7" s="6" t="s">
        <v>1</v>
      </c>
      <c r="H7" s="5" t="s">
        <v>17</v>
      </c>
      <c r="I7" s="6" t="s">
        <v>1</v>
      </c>
      <c r="J7" s="4" t="s">
        <v>36</v>
      </c>
      <c r="K7" s="4" t="s">
        <v>133</v>
      </c>
      <c r="L7" s="5" t="s">
        <v>154</v>
      </c>
      <c r="M7" s="5" t="s">
        <v>82</v>
      </c>
      <c r="N7" s="5" t="s">
        <v>3</v>
      </c>
      <c r="O7" s="8" t="s">
        <v>4</v>
      </c>
      <c r="P7" s="8" t="s">
        <v>144</v>
      </c>
      <c r="Q7" s="8" t="s">
        <v>66</v>
      </c>
      <c r="R7" s="9" t="s">
        <v>145</v>
      </c>
      <c r="S7" s="40" t="s">
        <v>146</v>
      </c>
      <c r="T7" s="40" t="s">
        <v>67</v>
      </c>
      <c r="U7" s="40" t="s">
        <v>68</v>
      </c>
    </row>
    <row r="8" spans="1:21" ht="30.75" customHeight="1" x14ac:dyDescent="0.25">
      <c r="A8" s="8"/>
      <c r="B8" s="206" t="s">
        <v>369</v>
      </c>
      <c r="C8" s="207"/>
      <c r="D8" s="206" t="s">
        <v>368</v>
      </c>
      <c r="E8" s="207"/>
      <c r="F8" s="206" t="s">
        <v>370</v>
      </c>
      <c r="G8" s="207"/>
      <c r="H8" s="206" t="s">
        <v>371</v>
      </c>
      <c r="I8" s="207"/>
      <c r="J8" s="172"/>
      <c r="K8" s="173"/>
      <c r="L8" s="173"/>
      <c r="M8" s="186"/>
      <c r="N8" s="5"/>
      <c r="O8" s="8"/>
      <c r="P8" s="8"/>
      <c r="Q8" s="8"/>
      <c r="R8" s="9"/>
      <c r="S8" s="40"/>
      <c r="T8" s="40"/>
      <c r="U8" s="40"/>
    </row>
    <row r="9" spans="1:21" ht="42" customHeight="1" x14ac:dyDescent="0.25">
      <c r="A9" s="8"/>
      <c r="B9" s="206" t="s">
        <v>323</v>
      </c>
      <c r="C9" s="207"/>
      <c r="D9" s="206" t="s">
        <v>338</v>
      </c>
      <c r="E9" s="207"/>
      <c r="F9" s="206" t="s">
        <v>337</v>
      </c>
      <c r="G9" s="207"/>
      <c r="H9" s="206" t="s">
        <v>338</v>
      </c>
      <c r="I9" s="207"/>
      <c r="J9" s="172" t="s">
        <v>363</v>
      </c>
      <c r="K9" s="173"/>
      <c r="L9" s="173"/>
      <c r="M9" s="186"/>
      <c r="N9" s="5" t="s">
        <v>372</v>
      </c>
      <c r="O9" s="8" t="s">
        <v>374</v>
      </c>
      <c r="P9" s="8" t="s">
        <v>375</v>
      </c>
      <c r="Q9" s="8" t="s">
        <v>376</v>
      </c>
      <c r="R9" s="9" t="s">
        <v>377</v>
      </c>
      <c r="S9" s="40" t="s">
        <v>378</v>
      </c>
      <c r="T9" s="40" t="s">
        <v>379</v>
      </c>
      <c r="U9" s="40" t="s">
        <v>380</v>
      </c>
    </row>
    <row r="10" spans="1:21" x14ac:dyDescent="0.25">
      <c r="A10" s="90"/>
      <c r="B10" s="90"/>
      <c r="C10" s="90"/>
      <c r="D10" s="90"/>
      <c r="E10" s="90"/>
      <c r="F10" s="90"/>
      <c r="G10" s="90"/>
      <c r="H10" s="90"/>
      <c r="I10" s="90"/>
      <c r="J10" s="90"/>
      <c r="K10" s="90"/>
      <c r="L10" s="90"/>
      <c r="M10" s="90"/>
      <c r="N10" s="90"/>
      <c r="O10" s="90"/>
      <c r="P10" s="90"/>
      <c r="Q10" s="90"/>
      <c r="R10" s="122"/>
      <c r="S10" s="119"/>
      <c r="T10" s="38">
        <f>SUBTOTAL(9,T11:T19982)</f>
        <v>5050000000</v>
      </c>
      <c r="U10" s="38">
        <f>SUBTOTAL(9,U11:U19982)</f>
        <v>110000000</v>
      </c>
    </row>
    <row r="11" spans="1:21" ht="38.25" x14ac:dyDescent="0.25">
      <c r="A11" s="7">
        <v>1</v>
      </c>
      <c r="B11" s="8" t="s">
        <v>136</v>
      </c>
      <c r="C11" s="9">
        <f>IF(B11&lt;&gt;"",INDEX(Table6[N/T/N PABT gốc],MATCH(B11,Table6[Số QĐ bồi thường gốc],0)),"")</f>
        <v>0</v>
      </c>
      <c r="D11" s="8"/>
      <c r="E11" s="9" t="str" cm="1">
        <f t="array" ref="E11">IF(D11="","",IF(OR(B11="Tạm ứng",B11=""),"",INDEX('2. QĐ PABT Đ.Chỉnh'!$E$7:$E$19989,MATCH(B11&amp;D11,'2. QĐ PABT Đ.Chỉnh'!$B$7:$B$19989&amp;'2. QĐ PABT Đ.Chỉnh'!$D$7:$D$19989,0))))</f>
        <v/>
      </c>
      <c r="F11" s="8"/>
      <c r="G11" s="9" t="str" cm="1">
        <f t="array" ref="G11">IF(F11="","",INDEX('1. QĐ PABT K.hợp GPMB nhanh'!$E$7:$E$19999,MATCH(B11&amp;F11,'1. QĐ PABT K.hợp GPMB nhanh'!$B$7:$B$19999&amp;'1. QĐ PABT K.hợp GPMB nhanh'!$D$7:$D$19999,0)))</f>
        <v/>
      </c>
      <c r="H11" s="8"/>
      <c r="I11" s="9" t="str" cm="1">
        <f t="array" ref="I11">IF(H11="","",IF(OR(F11="Tạm ứng",F11=""),"",INDEX('2.1 QĐ GPMB nhanh Đ.Chỉnh'!$E$7:$E$19999,MATCH(F11&amp;H11,'2.1 QĐ GPMB nhanh Đ.Chỉnh'!$B$7:$B$19999&amp;'2.1 QĐ GPMB nhanh Đ.Chỉnh'!$D$7:$D$19999,0))))</f>
        <v/>
      </c>
      <c r="J11" s="8" t="s">
        <v>110</v>
      </c>
      <c r="K11" s="8" t="s">
        <v>152</v>
      </c>
      <c r="L11" s="8" t="s">
        <v>112</v>
      </c>
      <c r="M11" s="8" t="s">
        <v>114</v>
      </c>
      <c r="N11" s="8" t="s">
        <v>5</v>
      </c>
      <c r="O11" s="8" t="s">
        <v>76</v>
      </c>
      <c r="P11" s="8" t="s">
        <v>249</v>
      </c>
      <c r="Q11" s="7" t="s">
        <v>143</v>
      </c>
      <c r="R11" s="67">
        <v>45292</v>
      </c>
      <c r="S11" s="124" t="s">
        <v>135</v>
      </c>
      <c r="T11" s="124">
        <v>100000000</v>
      </c>
      <c r="U11" s="124">
        <v>0</v>
      </c>
    </row>
    <row r="12" spans="1:21" ht="38.25" x14ac:dyDescent="0.25">
      <c r="A12" s="7">
        <v>2</v>
      </c>
      <c r="B12" s="8">
        <v>110</v>
      </c>
      <c r="C12" s="9">
        <f>IF(B12&lt;&gt;"",INDEX(Table6[N/T/N PABT gốc],MATCH(B12,Table6[Số QĐ bồi thường gốc],0)),"")</f>
        <v>45327</v>
      </c>
      <c r="D12" s="8"/>
      <c r="E12" s="9" t="str" cm="1">
        <f t="array" ref="E12">IF(D12="","",IF(OR(B12="Tạm ứng",B12=""),"",INDEX('2. QĐ PABT Đ.Chỉnh'!$E$7:$E$19989,MATCH(B12&amp;D12,'2. QĐ PABT Đ.Chỉnh'!$B$7:$B$19989&amp;'2. QĐ PABT Đ.Chỉnh'!$D$7:$D$19989,0))))</f>
        <v/>
      </c>
      <c r="F12" s="8"/>
      <c r="G12" s="9" t="str" cm="1">
        <f t="array" ref="G12">IF(F12="","",INDEX('1. QĐ PABT K.hợp GPMB nhanh'!$E$7:$E$19999,MATCH(B12&amp;F12,'1. QĐ PABT K.hợp GPMB nhanh'!$B$7:$B$19999&amp;'1. QĐ PABT K.hợp GPMB nhanh'!$D$7:$D$19999,0)))</f>
        <v/>
      </c>
      <c r="H12" s="8"/>
      <c r="I12" s="9" t="str" cm="1">
        <f t="array" ref="I12">IF(H12="","",IF(OR(F12="Tạm ứng",F12=""),"",INDEX('2.1 QĐ GPMB nhanh Đ.Chỉnh'!$E$7:$E$19999,MATCH(F12&amp;H12,'2.1 QĐ GPMB nhanh Đ.Chỉnh'!$B$7:$B$19999&amp;'2.1 QĐ GPMB nhanh Đ.Chỉnh'!$D$7:$D$19999,0))))</f>
        <v/>
      </c>
      <c r="J12" s="8" t="s">
        <v>110</v>
      </c>
      <c r="K12" s="8" t="s">
        <v>152</v>
      </c>
      <c r="L12" s="8" t="s">
        <v>112</v>
      </c>
      <c r="M12" s="8" t="s">
        <v>114</v>
      </c>
      <c r="N12" s="8" t="s">
        <v>5</v>
      </c>
      <c r="O12" s="8" t="s">
        <v>6</v>
      </c>
      <c r="P12" s="8" t="s">
        <v>249</v>
      </c>
      <c r="Q12" s="7" t="s">
        <v>153</v>
      </c>
      <c r="R12" s="67">
        <v>45328</v>
      </c>
      <c r="S12" s="124" t="s">
        <v>147</v>
      </c>
      <c r="T12" s="124">
        <v>80000000</v>
      </c>
      <c r="U12" s="124">
        <v>0</v>
      </c>
    </row>
    <row r="13" spans="1:21" ht="38.25" x14ac:dyDescent="0.25">
      <c r="A13" s="7">
        <v>3</v>
      </c>
      <c r="B13" s="8">
        <v>110</v>
      </c>
      <c r="C13" s="9">
        <f>IF(B13&lt;&gt;"",INDEX(Table6[N/T/N PABT gốc],MATCH(B13,Table6[Số QĐ bồi thường gốc],0)),"")</f>
        <v>45327</v>
      </c>
      <c r="D13" s="8"/>
      <c r="E13" s="9" t="str" cm="1">
        <f t="array" ref="E13">IF(D13="","",IF(OR(B13="Tạm ứng",B13=""),"",INDEX('2. QĐ PABT Đ.Chỉnh'!$E$7:$E$19989,MATCH(B13&amp;D13,'2. QĐ PABT Đ.Chỉnh'!$B$7:$B$19989&amp;'2. QĐ PABT Đ.Chỉnh'!$D$7:$D$19989,0))))</f>
        <v/>
      </c>
      <c r="F13" s="8"/>
      <c r="G13" s="9" t="str" cm="1">
        <f t="array" ref="G13">IF(F13="","",INDEX('1. QĐ PABT K.hợp GPMB nhanh'!$E$7:$E$19999,MATCH(B13&amp;F13,'1. QĐ PABT K.hợp GPMB nhanh'!$B$7:$B$19999&amp;'1. QĐ PABT K.hợp GPMB nhanh'!$D$7:$D$19999,0)))</f>
        <v/>
      </c>
      <c r="H13" s="8"/>
      <c r="I13" s="9" t="str" cm="1">
        <f t="array" ref="I13">IF(H13="","",IF(OR(F13="Tạm ứng",F13=""),"",INDEX('2.1 QĐ GPMB nhanh Đ.Chỉnh'!$E$7:$E$19999,MATCH(F13&amp;H13,'2.1 QĐ GPMB nhanh Đ.Chỉnh'!$B$7:$B$19999&amp;'2.1 QĐ GPMB nhanh Đ.Chỉnh'!$D$7:$D$19999,0))))</f>
        <v/>
      </c>
      <c r="J13" s="8" t="s">
        <v>110</v>
      </c>
      <c r="K13" s="8" t="s">
        <v>152</v>
      </c>
      <c r="L13" s="8" t="s">
        <v>112</v>
      </c>
      <c r="M13" s="8" t="s">
        <v>114</v>
      </c>
      <c r="N13" s="8" t="s">
        <v>5</v>
      </c>
      <c r="O13" s="8" t="s">
        <v>6</v>
      </c>
      <c r="P13" s="8" t="s">
        <v>249</v>
      </c>
      <c r="Q13" s="7" t="s">
        <v>153</v>
      </c>
      <c r="R13" s="67">
        <v>45330</v>
      </c>
      <c r="S13" s="124" t="s">
        <v>148</v>
      </c>
      <c r="T13" s="124">
        <v>120000000</v>
      </c>
      <c r="U13" s="124"/>
    </row>
    <row r="14" spans="1:21" ht="38.25" x14ac:dyDescent="0.25">
      <c r="A14" s="7">
        <v>4</v>
      </c>
      <c r="B14" s="8">
        <v>110</v>
      </c>
      <c r="C14" s="9">
        <f>IF(B14&lt;&gt;"",INDEX(Table6[N/T/N PABT gốc],MATCH(B14,Table6[Số QĐ bồi thường gốc],0)),"")</f>
        <v>45327</v>
      </c>
      <c r="D14" s="8" t="s">
        <v>136</v>
      </c>
      <c r="E14" s="9" cm="1">
        <f t="array" ref="E14">IF(D14="","",IF(OR(B14="Tạm ứng",B14=""),"",INDEX('2. QĐ PABT Đ.Chỉnh'!$E$7:$E$19989,MATCH(B14&amp;D14,'2. QĐ PABT Đ.Chỉnh'!$B$7:$B$19989&amp;'2. QĐ PABT Đ.Chỉnh'!$D$7:$D$19989,0))))</f>
        <v>0</v>
      </c>
      <c r="F14" s="8"/>
      <c r="G14" s="9" t="str" cm="1">
        <f t="array" ref="G14">IF(F14="","",INDEX('1. QĐ PABT K.hợp GPMB nhanh'!$E$7:$E$19999,MATCH(B14&amp;F14,'1. QĐ PABT K.hợp GPMB nhanh'!$B$7:$B$19999&amp;'1. QĐ PABT K.hợp GPMB nhanh'!$D$7:$D$19999,0)))</f>
        <v/>
      </c>
      <c r="H14" s="8"/>
      <c r="I14" s="9" t="str" cm="1">
        <f t="array" ref="I14">IF(H14="","",IF(OR(F14="Tạm ứng",F14=""),"",INDEX('2.1 QĐ GPMB nhanh Đ.Chỉnh'!$E$7:$E$19999,MATCH(F14&amp;H14,'2.1 QĐ GPMB nhanh Đ.Chỉnh'!$B$7:$B$19999&amp;'2.1 QĐ GPMB nhanh Đ.Chỉnh'!$D$7:$D$19999,0))))</f>
        <v/>
      </c>
      <c r="J14" s="8" t="s">
        <v>110</v>
      </c>
      <c r="K14" s="8" t="s">
        <v>152</v>
      </c>
      <c r="L14" s="8" t="s">
        <v>112</v>
      </c>
      <c r="M14" s="8" t="s">
        <v>114</v>
      </c>
      <c r="N14" s="8" t="s">
        <v>5</v>
      </c>
      <c r="O14" s="8" t="s">
        <v>76</v>
      </c>
      <c r="P14" s="8" t="s">
        <v>249</v>
      </c>
      <c r="Q14" s="7" t="s">
        <v>143</v>
      </c>
      <c r="R14" s="67">
        <v>45332</v>
      </c>
      <c r="S14" s="124" t="s">
        <v>149</v>
      </c>
      <c r="T14" s="124">
        <v>300000000</v>
      </c>
      <c r="U14" s="124"/>
    </row>
    <row r="15" spans="1:21" ht="38.25" x14ac:dyDescent="0.25">
      <c r="A15" s="7">
        <v>5</v>
      </c>
      <c r="B15" s="8">
        <v>120</v>
      </c>
      <c r="C15" s="9">
        <f>IF(B15&lt;&gt;"",INDEX(Table6[N/T/N PABT gốc],MATCH(B15,Table6[Số QĐ bồi thường gốc],0)),"")</f>
        <v>45356</v>
      </c>
      <c r="D15" s="8"/>
      <c r="E15" s="9" t="str" cm="1">
        <f t="array" ref="E15">IF(D15="","",IF(OR(B15="Tạm ứng",B15=""),"",INDEX('2. QĐ PABT Đ.Chỉnh'!$E$7:$E$19989,MATCH(B15&amp;D15,'2. QĐ PABT Đ.Chỉnh'!$B$7:$B$19989&amp;'2. QĐ PABT Đ.Chỉnh'!$D$7:$D$19989,0))))</f>
        <v/>
      </c>
      <c r="F15" s="8"/>
      <c r="G15" s="9" t="str" cm="1">
        <f t="array" ref="G15">IF(F15="","",INDEX('1. QĐ PABT K.hợp GPMB nhanh'!$E$7:$E$19999,MATCH(B15&amp;F15,'1. QĐ PABT K.hợp GPMB nhanh'!$B$7:$B$19999&amp;'1. QĐ PABT K.hợp GPMB nhanh'!$D$7:$D$19999,0)))</f>
        <v/>
      </c>
      <c r="H15" s="8"/>
      <c r="I15" s="9" t="str" cm="1">
        <f t="array" ref="I15">IF(H15="","",IF(OR(F15="Tạm ứng",F15=""),"",INDEX('2.1 QĐ GPMB nhanh Đ.Chỉnh'!$E$7:$E$19999,MATCH(F15&amp;H15,'2.1 QĐ GPMB nhanh Đ.Chỉnh'!$B$7:$B$19999&amp;'2.1 QĐ GPMB nhanh Đ.Chỉnh'!$D$7:$D$19999,0))))</f>
        <v/>
      </c>
      <c r="J15" s="8" t="s">
        <v>110</v>
      </c>
      <c r="K15" s="8" t="s">
        <v>152</v>
      </c>
      <c r="L15" s="8" t="s">
        <v>112</v>
      </c>
      <c r="M15" s="8" t="s">
        <v>114</v>
      </c>
      <c r="N15" s="8" t="s">
        <v>5</v>
      </c>
      <c r="O15" s="8" t="s">
        <v>6</v>
      </c>
      <c r="P15" s="8" t="s">
        <v>249</v>
      </c>
      <c r="Q15" s="7" t="s">
        <v>153</v>
      </c>
      <c r="R15" s="67">
        <v>45357</v>
      </c>
      <c r="S15" s="124" t="s">
        <v>159</v>
      </c>
      <c r="T15" s="124">
        <v>150000000</v>
      </c>
      <c r="U15" s="124"/>
    </row>
    <row r="16" spans="1:21" ht="38.25" x14ac:dyDescent="0.25">
      <c r="A16" s="7">
        <v>6</v>
      </c>
      <c r="B16" s="8">
        <v>120</v>
      </c>
      <c r="C16" s="9">
        <f>IF(B16&lt;&gt;"",INDEX(Table6[N/T/N PABT gốc],MATCH(B16,Table6[Số QĐ bồi thường gốc],0)),"")</f>
        <v>45356</v>
      </c>
      <c r="D16" s="8"/>
      <c r="E16" s="9" t="str" cm="1">
        <f t="array" ref="E16">IF(D16="","",IF(OR(B16="Tạm ứng",B16=""),"",INDEX('2. QĐ PABT Đ.Chỉnh'!$E$7:$E$19989,MATCH(B16&amp;D16,'2. QĐ PABT Đ.Chỉnh'!$B$7:$B$19989&amp;'2. QĐ PABT Đ.Chỉnh'!$D$7:$D$19989,0))))</f>
        <v/>
      </c>
      <c r="F16" s="8"/>
      <c r="G16" s="9" t="str" cm="1">
        <f t="array" ref="G16">IF(F16="","",INDEX('1. QĐ PABT K.hợp GPMB nhanh'!$E$7:$E$19999,MATCH(B16&amp;F16,'1. QĐ PABT K.hợp GPMB nhanh'!$B$7:$B$19999&amp;'1. QĐ PABT K.hợp GPMB nhanh'!$D$7:$D$19999,0)))</f>
        <v/>
      </c>
      <c r="H16" s="8"/>
      <c r="I16" s="9" t="str" cm="1">
        <f t="array" ref="I16">IF(H16="","",IF(OR(F16="Tạm ứng",F16=""),"",INDEX('2.1 QĐ GPMB nhanh Đ.Chỉnh'!$E$7:$E$19999,MATCH(F16&amp;H16,'2.1 QĐ GPMB nhanh Đ.Chỉnh'!$B$7:$B$19999&amp;'2.1 QĐ GPMB nhanh Đ.Chỉnh'!$D$7:$D$19999,0))))</f>
        <v/>
      </c>
      <c r="J16" s="8" t="s">
        <v>110</v>
      </c>
      <c r="K16" s="8" t="s">
        <v>152</v>
      </c>
      <c r="L16" s="8" t="s">
        <v>112</v>
      </c>
      <c r="M16" s="8" t="s">
        <v>114</v>
      </c>
      <c r="N16" s="8" t="s">
        <v>5</v>
      </c>
      <c r="O16" s="8" t="s">
        <v>6</v>
      </c>
      <c r="P16" s="8" t="s">
        <v>249</v>
      </c>
      <c r="Q16" s="7" t="s">
        <v>153</v>
      </c>
      <c r="R16" s="67">
        <v>45359</v>
      </c>
      <c r="S16" s="124" t="s">
        <v>160</v>
      </c>
      <c r="T16" s="124">
        <v>250000000</v>
      </c>
      <c r="U16" s="124"/>
    </row>
    <row r="17" spans="1:21" ht="38.25" x14ac:dyDescent="0.25">
      <c r="A17" s="7">
        <v>7</v>
      </c>
      <c r="B17" s="8">
        <v>120</v>
      </c>
      <c r="C17" s="9">
        <f>IF(B17&lt;&gt;"",INDEX(Table6[N/T/N PABT gốc],MATCH(B17,Table6[Số QĐ bồi thường gốc],0)),"")</f>
        <v>45356</v>
      </c>
      <c r="D17" s="8">
        <v>121</v>
      </c>
      <c r="E17" s="9" cm="1">
        <f t="array" ref="E17">IF(D17="","",IF(OR(B17="Tạm ứng",B17=""),"",INDEX('2. QĐ PABT Đ.Chỉnh'!$E$7:$E$19989,MATCH(B17&amp;D17,'2. QĐ PABT Đ.Chỉnh'!$B$7:$B$19989&amp;'2. QĐ PABT Đ.Chỉnh'!$D$7:$D$19989,0))))</f>
        <v>45361</v>
      </c>
      <c r="F17" s="8"/>
      <c r="G17" s="9" t="str" cm="1">
        <f t="array" ref="G17">IF(F17="","",INDEX('1. QĐ PABT K.hợp GPMB nhanh'!$E$7:$E$19999,MATCH(B17&amp;F17,'1. QĐ PABT K.hợp GPMB nhanh'!$B$7:$B$19999&amp;'1. QĐ PABT K.hợp GPMB nhanh'!$D$7:$D$19999,0)))</f>
        <v/>
      </c>
      <c r="H17" s="8"/>
      <c r="I17" s="9" t="str" cm="1">
        <f t="array" ref="I17">IF(H17="","",IF(OR(F17="Tạm ứng",F17=""),"",INDEX('2.1 QĐ GPMB nhanh Đ.Chỉnh'!$E$7:$E$19999,MATCH(F17&amp;H17,'2.1 QĐ GPMB nhanh Đ.Chỉnh'!$B$7:$B$19999&amp;'2.1 QĐ GPMB nhanh Đ.Chỉnh'!$D$7:$D$19999,0))))</f>
        <v/>
      </c>
      <c r="J17" s="8" t="s">
        <v>110</v>
      </c>
      <c r="K17" s="8" t="s">
        <v>152</v>
      </c>
      <c r="L17" s="8" t="s">
        <v>112</v>
      </c>
      <c r="M17" s="8" t="s">
        <v>114</v>
      </c>
      <c r="N17" s="8" t="s">
        <v>5</v>
      </c>
      <c r="O17" s="8" t="s">
        <v>6</v>
      </c>
      <c r="P17" s="8" t="s">
        <v>249</v>
      </c>
      <c r="Q17" s="7" t="s">
        <v>153</v>
      </c>
      <c r="R17" s="67">
        <v>45362</v>
      </c>
      <c r="S17" s="124" t="s">
        <v>161</v>
      </c>
      <c r="T17" s="124">
        <v>500000000</v>
      </c>
      <c r="U17" s="124"/>
    </row>
    <row r="18" spans="1:21" ht="38.25" x14ac:dyDescent="0.25">
      <c r="A18" s="7">
        <v>8</v>
      </c>
      <c r="B18" s="8">
        <v>130</v>
      </c>
      <c r="C18" s="9">
        <f>IF(B18&lt;&gt;"",INDEX(Table6[N/T/N PABT gốc],MATCH(B18,Table6[Số QĐ bồi thường gốc],0)),"")</f>
        <v>45387</v>
      </c>
      <c r="D18" s="8"/>
      <c r="E18" s="9" t="str" cm="1">
        <f t="array" ref="E18">IF(D18="","",IF(OR(B18="Tạm ứng",B18=""),"",INDEX('2. QĐ PABT Đ.Chỉnh'!$E$7:$E$19989,MATCH(B18&amp;D18,'2. QĐ PABT Đ.Chỉnh'!$B$7:$B$19989&amp;'2. QĐ PABT Đ.Chỉnh'!$D$7:$D$19989,0))))</f>
        <v/>
      </c>
      <c r="F18" s="8"/>
      <c r="G18" s="9" t="str" cm="1">
        <f t="array" ref="G18">IF(F18="","",INDEX('1. QĐ PABT K.hợp GPMB nhanh'!$E$7:$E$19999,MATCH(B18&amp;F18,'1. QĐ PABT K.hợp GPMB nhanh'!$B$7:$B$19999&amp;'1. QĐ PABT K.hợp GPMB nhanh'!$D$7:$D$19999,0)))</f>
        <v/>
      </c>
      <c r="H18" s="8"/>
      <c r="I18" s="9" t="str" cm="1">
        <f t="array" ref="I18">IF(H18="","",IF(OR(F18="Tạm ứng",F18=""),"",INDEX('2.1 QĐ GPMB nhanh Đ.Chỉnh'!$E$7:$E$19999,MATCH(F18&amp;H18,'2.1 QĐ GPMB nhanh Đ.Chỉnh'!$B$7:$B$19999&amp;'2.1 QĐ GPMB nhanh Đ.Chỉnh'!$D$7:$D$19999,0))))</f>
        <v/>
      </c>
      <c r="J18" s="8" t="s">
        <v>110</v>
      </c>
      <c r="K18" s="8" t="s">
        <v>152</v>
      </c>
      <c r="L18" s="8" t="s">
        <v>112</v>
      </c>
      <c r="M18" s="8" t="s">
        <v>114</v>
      </c>
      <c r="N18" s="8" t="s">
        <v>5</v>
      </c>
      <c r="O18" s="8" t="s">
        <v>6</v>
      </c>
      <c r="P18" s="8" t="s">
        <v>249</v>
      </c>
      <c r="Q18" s="7" t="s">
        <v>153</v>
      </c>
      <c r="R18" s="67">
        <v>45388</v>
      </c>
      <c r="S18" s="124" t="s">
        <v>162</v>
      </c>
      <c r="T18" s="124">
        <v>600000000</v>
      </c>
      <c r="U18" s="124"/>
    </row>
    <row r="19" spans="1:21" ht="38.25" x14ac:dyDescent="0.25">
      <c r="A19" s="7">
        <v>9</v>
      </c>
      <c r="B19" s="8">
        <v>130</v>
      </c>
      <c r="C19" s="9">
        <f>IF(B19&lt;&gt;"",INDEX(Table6[N/T/N PABT gốc],MATCH(B19,Table6[Số QĐ bồi thường gốc],0)),"")</f>
        <v>45387</v>
      </c>
      <c r="D19" s="8">
        <v>131</v>
      </c>
      <c r="E19" s="9" cm="1">
        <f t="array" ref="E19">IF(D19="","",IF(OR(B19="Tạm ứng",B19=""),"",INDEX('2. QĐ PABT Đ.Chỉnh'!$E$7:$E$19989,MATCH(B19&amp;D19,'2. QĐ PABT Đ.Chỉnh'!$B$7:$B$19989&amp;'2. QĐ PABT Đ.Chỉnh'!$D$7:$D$19989,0))))</f>
        <v>45392</v>
      </c>
      <c r="F19" s="8"/>
      <c r="G19" s="9" t="str" cm="1">
        <f t="array" ref="G19">IF(F19="","",INDEX('1. QĐ PABT K.hợp GPMB nhanh'!$E$7:$E$19999,MATCH(B19&amp;F19,'1. QĐ PABT K.hợp GPMB nhanh'!$B$7:$B$19999&amp;'1. QĐ PABT K.hợp GPMB nhanh'!$D$7:$D$19999,0)))</f>
        <v/>
      </c>
      <c r="H19" s="8"/>
      <c r="I19" s="9" t="str" cm="1">
        <f t="array" ref="I19">IF(H19="","",IF(OR(F19="Tạm ứng",F19=""),"",INDEX('2.1 QĐ GPMB nhanh Đ.Chỉnh'!$E$7:$E$19999,MATCH(F19&amp;H19,'2.1 QĐ GPMB nhanh Đ.Chỉnh'!$B$7:$B$19999&amp;'2.1 QĐ GPMB nhanh Đ.Chỉnh'!$D$7:$D$19999,0))))</f>
        <v/>
      </c>
      <c r="J19" s="8" t="s">
        <v>110</v>
      </c>
      <c r="K19" s="8" t="s">
        <v>152</v>
      </c>
      <c r="L19" s="8" t="s">
        <v>112</v>
      </c>
      <c r="M19" s="8" t="s">
        <v>114</v>
      </c>
      <c r="N19" s="8" t="s">
        <v>5</v>
      </c>
      <c r="O19" s="8" t="s">
        <v>6</v>
      </c>
      <c r="P19" s="8" t="s">
        <v>249</v>
      </c>
      <c r="Q19" s="7" t="s">
        <v>153</v>
      </c>
      <c r="R19" s="67">
        <v>45393</v>
      </c>
      <c r="S19" s="124" t="s">
        <v>163</v>
      </c>
      <c r="T19" s="124">
        <v>700000000</v>
      </c>
      <c r="U19" s="124"/>
    </row>
    <row r="20" spans="1:21" ht="38.25" x14ac:dyDescent="0.25">
      <c r="A20" s="7">
        <v>10</v>
      </c>
      <c r="B20" s="8">
        <v>130</v>
      </c>
      <c r="C20" s="9">
        <f>IF(B20&lt;&gt;"",INDEX(Table6[N/T/N PABT gốc],MATCH(B20,Table6[Số QĐ bồi thường gốc],0)),"")</f>
        <v>45387</v>
      </c>
      <c r="D20" s="8">
        <v>132</v>
      </c>
      <c r="E20" s="9" cm="1">
        <f t="array" ref="E20">IF(D20="","",IF(OR(B20="Tạm ứng",B20=""),"",INDEX('2. QĐ PABT Đ.Chỉnh'!$E$7:$E$19989,MATCH(B20&amp;D20,'2. QĐ PABT Đ.Chỉnh'!$B$7:$B$19989&amp;'2. QĐ PABT Đ.Chỉnh'!$D$7:$D$19989,0))))</f>
        <v>45397</v>
      </c>
      <c r="F20" s="8"/>
      <c r="G20" s="9" t="str" cm="1">
        <f t="array" ref="G20">IF(F20="","",INDEX('1. QĐ PABT K.hợp GPMB nhanh'!$E$7:$E$19999,MATCH(B20&amp;F20,'1. QĐ PABT K.hợp GPMB nhanh'!$B$7:$B$19999&amp;'1. QĐ PABT K.hợp GPMB nhanh'!$D$7:$D$19999,0)))</f>
        <v/>
      </c>
      <c r="H20" s="8"/>
      <c r="I20" s="9" t="str" cm="1">
        <f t="array" ref="I20">IF(H20="","",IF(OR(F20="Tạm ứng",F20=""),"",INDEX('2.1 QĐ GPMB nhanh Đ.Chỉnh'!$E$7:$E$19999,MATCH(F20&amp;H20,'2.1 QĐ GPMB nhanh Đ.Chỉnh'!$B$7:$B$19999&amp;'2.1 QĐ GPMB nhanh Đ.Chỉnh'!$D$7:$D$19999,0))))</f>
        <v/>
      </c>
      <c r="J20" s="8" t="s">
        <v>110</v>
      </c>
      <c r="K20" s="8" t="s">
        <v>152</v>
      </c>
      <c r="L20" s="8" t="s">
        <v>112</v>
      </c>
      <c r="M20" s="8" t="s">
        <v>114</v>
      </c>
      <c r="N20" s="8" t="s">
        <v>5</v>
      </c>
      <c r="O20" s="8" t="s">
        <v>6</v>
      </c>
      <c r="P20" s="8" t="s">
        <v>249</v>
      </c>
      <c r="Q20" s="7" t="s">
        <v>153</v>
      </c>
      <c r="R20" s="67">
        <v>45398</v>
      </c>
      <c r="S20" s="124" t="s">
        <v>164</v>
      </c>
      <c r="T20" s="124">
        <v>800000000</v>
      </c>
      <c r="U20" s="124"/>
    </row>
    <row r="21" spans="1:21" ht="38.25" x14ac:dyDescent="0.25">
      <c r="A21" s="7">
        <v>11</v>
      </c>
      <c r="B21" s="8">
        <v>140</v>
      </c>
      <c r="C21" s="9">
        <f>IF(B21&lt;&gt;"",INDEX(Table6[N/T/N PABT gốc],MATCH(B21,Table6[Số QĐ bồi thường gốc],0)),"")</f>
        <v>45417</v>
      </c>
      <c r="D21" s="8"/>
      <c r="E21" s="9" t="str" cm="1">
        <f t="array" ref="E21">IF(D21="","",IF(OR(B21="Tạm ứng",B21=""),"",INDEX('2. QĐ PABT Đ.Chỉnh'!$E$7:$E$19989,MATCH(B21&amp;D21,'2. QĐ PABT Đ.Chỉnh'!$B$7:$B$19989&amp;'2. QĐ PABT Đ.Chỉnh'!$D$7:$D$19989,0))))</f>
        <v/>
      </c>
      <c r="F21" s="8"/>
      <c r="G21" s="9" t="str" cm="1">
        <f t="array" ref="G21">IF(F21="","",INDEX('1. QĐ PABT K.hợp GPMB nhanh'!$E$7:$E$19999,MATCH(B21&amp;F21,'1. QĐ PABT K.hợp GPMB nhanh'!$B$7:$B$19999&amp;'1. QĐ PABT K.hợp GPMB nhanh'!$D$7:$D$19999,0)))</f>
        <v/>
      </c>
      <c r="H21" s="8"/>
      <c r="I21" s="9" t="str" cm="1">
        <f t="array" ref="I21">IF(H21="","",IF(OR(F21="Tạm ứng",F21=""),"",INDEX('2.1 QĐ GPMB nhanh Đ.Chỉnh'!$E$7:$E$19999,MATCH(F21&amp;H21,'2.1 QĐ GPMB nhanh Đ.Chỉnh'!$B$7:$B$19999&amp;'2.1 QĐ GPMB nhanh Đ.Chỉnh'!$D$7:$D$19999,0))))</f>
        <v/>
      </c>
      <c r="J21" s="8" t="s">
        <v>110</v>
      </c>
      <c r="K21" s="8" t="s">
        <v>152</v>
      </c>
      <c r="L21" s="8" t="s">
        <v>112</v>
      </c>
      <c r="M21" s="8" t="s">
        <v>114</v>
      </c>
      <c r="N21" s="8" t="s">
        <v>5</v>
      </c>
      <c r="O21" s="8" t="s">
        <v>6</v>
      </c>
      <c r="P21" s="8" t="s">
        <v>249</v>
      </c>
      <c r="Q21" s="7" t="s">
        <v>153</v>
      </c>
      <c r="R21" s="67">
        <v>45418</v>
      </c>
      <c r="S21" s="124" t="s">
        <v>165</v>
      </c>
      <c r="T21" s="124">
        <v>1000000000</v>
      </c>
      <c r="U21" s="124"/>
    </row>
    <row r="22" spans="1:21" ht="38.25" x14ac:dyDescent="0.25">
      <c r="A22" s="7">
        <v>12</v>
      </c>
      <c r="B22" s="8">
        <v>140</v>
      </c>
      <c r="C22" s="9">
        <f>IF(B22&lt;&gt;"",INDEX(Table6[N/T/N PABT gốc],MATCH(B22,Table6[Số QĐ bồi thường gốc],0)),"")</f>
        <v>45417</v>
      </c>
      <c r="D22" s="8">
        <v>141</v>
      </c>
      <c r="E22" s="9" cm="1">
        <f t="array" ref="E22">IF(D22="","",IF(OR(B22="Tạm ứng",B22=""),"",INDEX('2. QĐ PABT Đ.Chỉnh'!$E$7:$E$19989,MATCH(B22&amp;D22,'2. QĐ PABT Đ.Chỉnh'!$B$7:$B$19989&amp;'2. QĐ PABT Đ.Chỉnh'!$D$7:$D$19989,0))))</f>
        <v>45427</v>
      </c>
      <c r="F22" s="8"/>
      <c r="G22" s="9" t="str" cm="1">
        <f t="array" ref="G22">IF(F22="","",INDEX('1. QĐ PABT K.hợp GPMB nhanh'!$E$7:$E$19999,MATCH(B22&amp;F22,'1. QĐ PABT K.hợp GPMB nhanh'!$B$7:$B$19999&amp;'1. QĐ PABT K.hợp GPMB nhanh'!$D$7:$D$19999,0)))</f>
        <v/>
      </c>
      <c r="H22" s="8"/>
      <c r="I22" s="9" t="str" cm="1">
        <f t="array" ref="I22">IF(H22="","",IF(OR(F22="Tạm ứng",F22=""),"",INDEX('2.1 QĐ GPMB nhanh Đ.Chỉnh'!$E$7:$E$19999,MATCH(F22&amp;H22,'2.1 QĐ GPMB nhanh Đ.Chỉnh'!$B$7:$B$19999&amp;'2.1 QĐ GPMB nhanh Đ.Chỉnh'!$D$7:$D$19999,0))))</f>
        <v/>
      </c>
      <c r="J22" s="8" t="s">
        <v>110</v>
      </c>
      <c r="K22" s="8" t="s">
        <v>152</v>
      </c>
      <c r="L22" s="8" t="s">
        <v>112</v>
      </c>
      <c r="M22" s="8" t="s">
        <v>114</v>
      </c>
      <c r="N22" s="8" t="s">
        <v>5</v>
      </c>
      <c r="O22" s="8" t="s">
        <v>6</v>
      </c>
      <c r="P22" s="8" t="s">
        <v>249</v>
      </c>
      <c r="Q22" s="7" t="s">
        <v>182</v>
      </c>
      <c r="R22" s="67">
        <v>45428</v>
      </c>
      <c r="S22" s="124" t="s">
        <v>168</v>
      </c>
      <c r="T22" s="124"/>
      <c r="U22" s="124">
        <v>30000000</v>
      </c>
    </row>
    <row r="23" spans="1:21" ht="38.25" x14ac:dyDescent="0.25">
      <c r="A23" s="7">
        <v>13</v>
      </c>
      <c r="B23" s="8">
        <v>140</v>
      </c>
      <c r="C23" s="9">
        <f>IF(B23&lt;&gt;"",INDEX(Table6[N/T/N PABT gốc],MATCH(B23,Table6[Số QĐ bồi thường gốc],0)),"")</f>
        <v>45417</v>
      </c>
      <c r="D23" s="8">
        <v>141</v>
      </c>
      <c r="E23" s="9" cm="1">
        <f t="array" ref="E23">IF(D23="","",IF(OR(B23="Tạm ứng",B23=""),"",INDEX('2. QĐ PABT Đ.Chỉnh'!$E$7:$E$19989,MATCH(B23&amp;D23,'2. QĐ PABT Đ.Chỉnh'!$B$7:$B$19989&amp;'2. QĐ PABT Đ.Chỉnh'!$D$7:$D$19989,0))))</f>
        <v>45427</v>
      </c>
      <c r="F23" s="8"/>
      <c r="G23" s="9" t="str" cm="1">
        <f t="array" ref="G23">IF(F23="","",INDEX('1. QĐ PABT K.hợp GPMB nhanh'!$E$7:$E$19999,MATCH(B23&amp;F23,'1. QĐ PABT K.hợp GPMB nhanh'!$B$7:$B$19999&amp;'1. QĐ PABT K.hợp GPMB nhanh'!$D$7:$D$19999,0)))</f>
        <v/>
      </c>
      <c r="H23" s="8"/>
      <c r="I23" s="9" t="str" cm="1">
        <f t="array" ref="I23">IF(H23="","",IF(OR(F23="Tạm ứng",F23=""),"",INDEX('2.1 QĐ GPMB nhanh Đ.Chỉnh'!$E$7:$E$19999,MATCH(F23&amp;H23,'2.1 QĐ GPMB nhanh Đ.Chỉnh'!$B$7:$B$19999&amp;'2.1 QĐ GPMB nhanh Đ.Chỉnh'!$D$7:$D$19999,0))))</f>
        <v/>
      </c>
      <c r="J23" s="8" t="s">
        <v>110</v>
      </c>
      <c r="K23" s="8" t="s">
        <v>152</v>
      </c>
      <c r="L23" s="8" t="s">
        <v>112</v>
      </c>
      <c r="M23" s="8" t="s">
        <v>114</v>
      </c>
      <c r="N23" s="8" t="s">
        <v>5</v>
      </c>
      <c r="O23" s="8" t="s">
        <v>6</v>
      </c>
      <c r="P23" s="8" t="s">
        <v>249</v>
      </c>
      <c r="Q23" s="7" t="s">
        <v>182</v>
      </c>
      <c r="R23" s="67">
        <v>45432</v>
      </c>
      <c r="S23" s="124" t="s">
        <v>169</v>
      </c>
      <c r="T23" s="124"/>
      <c r="U23" s="124">
        <v>70000000</v>
      </c>
    </row>
    <row r="24" spans="1:21" ht="25.5" x14ac:dyDescent="0.25">
      <c r="A24" s="7">
        <v>14</v>
      </c>
      <c r="B24" s="8">
        <v>110</v>
      </c>
      <c r="C24" s="9">
        <f>IF(B24&lt;&gt;"",INDEX(Table6[N/T/N PABT gốc],MATCH(B24,Table6[Số QĐ bồi thường gốc],0)),"")</f>
        <v>45327</v>
      </c>
      <c r="D24" s="8"/>
      <c r="E24" s="9" t="str" cm="1">
        <f t="array" ref="E24">IF(D24="","",IF(OR(B24="Tạm ứng",B24=""),"",INDEX('2. QĐ PABT Đ.Chỉnh'!$E$7:$E$19989,MATCH(B24&amp;D24,'2. QĐ PABT Đ.Chỉnh'!$B$7:$B$19989&amp;'2. QĐ PABT Đ.Chỉnh'!$D$7:$D$19989,0))))</f>
        <v/>
      </c>
      <c r="F24" s="8" t="s">
        <v>136</v>
      </c>
      <c r="G24" s="9" cm="1">
        <f t="array" ref="G24">IF(F24="","",INDEX('1. QĐ PABT K.hợp GPMB nhanh'!$E$7:$E$19999,MATCH(B24&amp;F24,'1. QĐ PABT K.hợp GPMB nhanh'!$B$7:$B$19999&amp;'1. QĐ PABT K.hợp GPMB nhanh'!$D$7:$D$19999,0)))</f>
        <v>0</v>
      </c>
      <c r="H24" s="8"/>
      <c r="I24" s="9" t="str" cm="1">
        <f t="array" ref="I24">IF(H24="","",IF(OR(F24="Tạm ứng",F24=""),"",INDEX('2.1 QĐ GPMB nhanh Đ.Chỉnh'!$E$7:$E$19999,MATCH(F24&amp;H24,'2.1 QĐ GPMB nhanh Đ.Chỉnh'!$B$7:$B$19999&amp;'2.1 QĐ GPMB nhanh Đ.Chỉnh'!$D$7:$D$19999,0))))</f>
        <v/>
      </c>
      <c r="J24" s="8" t="s">
        <v>110</v>
      </c>
      <c r="K24" s="8" t="s">
        <v>152</v>
      </c>
      <c r="L24" s="8" t="s">
        <v>112</v>
      </c>
      <c r="M24" s="8" t="s">
        <v>114</v>
      </c>
      <c r="N24" s="8" t="s">
        <v>5</v>
      </c>
      <c r="O24" s="8" t="s">
        <v>76</v>
      </c>
      <c r="P24" s="8" t="s">
        <v>109</v>
      </c>
      <c r="Q24" s="7" t="s">
        <v>170</v>
      </c>
      <c r="R24" s="67">
        <v>45335</v>
      </c>
      <c r="S24" s="124" t="s">
        <v>171</v>
      </c>
      <c r="T24" s="124">
        <v>50000000</v>
      </c>
      <c r="U24" s="124"/>
    </row>
    <row r="25" spans="1:21" ht="25.5" x14ac:dyDescent="0.25">
      <c r="A25" s="7">
        <v>15</v>
      </c>
      <c r="B25" s="8">
        <v>120</v>
      </c>
      <c r="C25" s="9">
        <f>IF(B25&lt;&gt;"",INDEX(Table6[N/T/N PABT gốc],MATCH(B25,Table6[Số QĐ bồi thường gốc],0)),"")</f>
        <v>45356</v>
      </c>
      <c r="D25" s="8"/>
      <c r="E25" s="9" t="str" cm="1">
        <f t="array" ref="E25">IF(D25="","",IF(OR(B25="Tạm ứng",B25=""),"",INDEX('2. QĐ PABT Đ.Chỉnh'!$E$7:$E$19989,MATCH(B25&amp;D25,'2. QĐ PABT Đ.Chỉnh'!$B$7:$B$19989&amp;'2. QĐ PABT Đ.Chỉnh'!$D$7:$D$19989,0))))</f>
        <v/>
      </c>
      <c r="F25" s="8">
        <v>220</v>
      </c>
      <c r="G25" s="9" cm="1">
        <f t="array" ref="G25">IF(F25="","",INDEX('1. QĐ PABT K.hợp GPMB nhanh'!$E$7:$E$19999,MATCH(B25&amp;F25,'1. QĐ PABT K.hợp GPMB nhanh'!$B$7:$B$19999&amp;'1. QĐ PABT K.hợp GPMB nhanh'!$D$7:$D$19999,0)))</f>
        <v>45361</v>
      </c>
      <c r="H25" s="8"/>
      <c r="I25" s="9" t="str" cm="1">
        <f t="array" ref="I25">IF(H25="","",IF(OR(F25="Tạm ứng",F25=""),"",INDEX('2.1 QĐ GPMB nhanh Đ.Chỉnh'!$E$7:$E$19999,MATCH(F25&amp;H25,'2.1 QĐ GPMB nhanh Đ.Chỉnh'!$B$7:$B$19999&amp;'2.1 QĐ GPMB nhanh Đ.Chỉnh'!$D$7:$D$19999,0))))</f>
        <v/>
      </c>
      <c r="J25" s="8" t="s">
        <v>110</v>
      </c>
      <c r="K25" s="8" t="s">
        <v>152</v>
      </c>
      <c r="L25" s="8" t="s">
        <v>112</v>
      </c>
      <c r="M25" s="8" t="s">
        <v>114</v>
      </c>
      <c r="N25" s="8" t="s">
        <v>5</v>
      </c>
      <c r="O25" s="8" t="s">
        <v>6</v>
      </c>
      <c r="P25" s="8" t="s">
        <v>109</v>
      </c>
      <c r="Q25" s="7" t="s">
        <v>172</v>
      </c>
      <c r="R25" s="67">
        <v>45362</v>
      </c>
      <c r="S25" s="124" t="s">
        <v>173</v>
      </c>
      <c r="T25" s="124">
        <v>15000000</v>
      </c>
      <c r="U25" s="124"/>
    </row>
    <row r="26" spans="1:21" ht="25.5" x14ac:dyDescent="0.25">
      <c r="A26" s="7">
        <v>16</v>
      </c>
      <c r="B26" s="8">
        <v>120</v>
      </c>
      <c r="C26" s="9">
        <f>IF(B26&lt;&gt;"",INDEX(Table6[N/T/N PABT gốc],MATCH(B26,Table6[Số QĐ bồi thường gốc],0)),"")</f>
        <v>45356</v>
      </c>
      <c r="D26" s="8"/>
      <c r="E26" s="9" t="str" cm="1">
        <f t="array" ref="E26">IF(D26="","",IF(OR(B26="Tạm ứng",B26=""),"",INDEX('2. QĐ PABT Đ.Chỉnh'!$E$7:$E$19989,MATCH(B26&amp;D26,'2. QĐ PABT Đ.Chỉnh'!$B$7:$B$19989&amp;'2. QĐ PABT Đ.Chỉnh'!$D$7:$D$19989,0))))</f>
        <v/>
      </c>
      <c r="F26" s="8">
        <v>220</v>
      </c>
      <c r="G26" s="9" cm="1">
        <f t="array" ref="G26">IF(F26="","",INDEX('1. QĐ PABT K.hợp GPMB nhanh'!$E$7:$E$19999,MATCH(B26&amp;F26,'1. QĐ PABT K.hợp GPMB nhanh'!$B$7:$B$19999&amp;'1. QĐ PABT K.hợp GPMB nhanh'!$D$7:$D$19999,0)))</f>
        <v>45361</v>
      </c>
      <c r="H26" s="8"/>
      <c r="I26" s="9" t="str" cm="1">
        <f t="array" ref="I26">IF(H26="","",IF(OR(F26="Tạm ứng",F26=""),"",INDEX('2.1 QĐ GPMB nhanh Đ.Chỉnh'!$E$7:$E$19999,MATCH(F26&amp;H26,'2.1 QĐ GPMB nhanh Đ.Chỉnh'!$B$7:$B$19999&amp;'2.1 QĐ GPMB nhanh Đ.Chỉnh'!$D$7:$D$19999,0))))</f>
        <v/>
      </c>
      <c r="J26" s="8" t="s">
        <v>110</v>
      </c>
      <c r="K26" s="8" t="s">
        <v>152</v>
      </c>
      <c r="L26" s="8" t="s">
        <v>112</v>
      </c>
      <c r="M26" s="8" t="s">
        <v>114</v>
      </c>
      <c r="N26" s="8" t="s">
        <v>5</v>
      </c>
      <c r="O26" s="8" t="s">
        <v>6</v>
      </c>
      <c r="P26" s="8" t="s">
        <v>109</v>
      </c>
      <c r="Q26" s="7" t="s">
        <v>172</v>
      </c>
      <c r="R26" s="67">
        <v>45363</v>
      </c>
      <c r="S26" s="124" t="s">
        <v>174</v>
      </c>
      <c r="T26" s="124">
        <v>25000000</v>
      </c>
      <c r="U26" s="124"/>
    </row>
    <row r="27" spans="1:21" ht="25.5" x14ac:dyDescent="0.25">
      <c r="A27" s="7">
        <v>17</v>
      </c>
      <c r="B27" s="8">
        <v>120</v>
      </c>
      <c r="C27" s="9">
        <f>IF(B27&lt;&gt;"",INDEX(Table6[N/T/N PABT gốc],MATCH(B27,Table6[Số QĐ bồi thường gốc],0)),"")</f>
        <v>45356</v>
      </c>
      <c r="D27" s="8">
        <v>121</v>
      </c>
      <c r="E27" s="9" cm="1">
        <f t="array" ref="E27">IF(D27="","",IF(OR(B27="Tạm ứng",B27=""),"",INDEX('2. QĐ PABT Đ.Chỉnh'!$E$7:$E$19989,MATCH(B27&amp;D27,'2. QĐ PABT Đ.Chỉnh'!$B$7:$B$19989&amp;'2. QĐ PABT Đ.Chỉnh'!$D$7:$D$19989,0))))</f>
        <v>45361</v>
      </c>
      <c r="F27" s="8">
        <v>220</v>
      </c>
      <c r="G27" s="9" cm="1">
        <f t="array" ref="G27">IF(F27="","",INDEX('1. QĐ PABT K.hợp GPMB nhanh'!$E$7:$E$19999,MATCH(B27&amp;F27,'1. QĐ PABT K.hợp GPMB nhanh'!$B$7:$B$19999&amp;'1. QĐ PABT K.hợp GPMB nhanh'!$D$7:$D$19999,0)))</f>
        <v>45361</v>
      </c>
      <c r="H27" s="8">
        <v>221</v>
      </c>
      <c r="I27" s="9" cm="1">
        <f t="array" ref="I27">IF(H27="","",IF(OR(F27="Tạm ứng",F27=""),"",INDEX('2.1 QĐ GPMB nhanh Đ.Chỉnh'!$E$7:$E$19999,MATCH(F27&amp;H27,'2.1 QĐ GPMB nhanh Đ.Chỉnh'!$B$7:$B$19999&amp;'2.1 QĐ GPMB nhanh Đ.Chỉnh'!$D$7:$D$19999,0))))</f>
        <v>45366</v>
      </c>
      <c r="J27" s="8" t="s">
        <v>110</v>
      </c>
      <c r="K27" s="8" t="s">
        <v>152</v>
      </c>
      <c r="L27" s="8" t="s">
        <v>112</v>
      </c>
      <c r="M27" s="8" t="s">
        <v>114</v>
      </c>
      <c r="N27" s="8" t="s">
        <v>5</v>
      </c>
      <c r="O27" s="8" t="s">
        <v>6</v>
      </c>
      <c r="P27" s="8" t="s">
        <v>109</v>
      </c>
      <c r="Q27" s="7" t="s">
        <v>172</v>
      </c>
      <c r="R27" s="67">
        <v>45367</v>
      </c>
      <c r="S27" s="124" t="s">
        <v>175</v>
      </c>
      <c r="T27" s="124">
        <v>50000000</v>
      </c>
      <c r="U27" s="124"/>
    </row>
    <row r="28" spans="1:21" ht="25.5" x14ac:dyDescent="0.25">
      <c r="A28" s="7">
        <v>18</v>
      </c>
      <c r="B28" s="8">
        <v>130</v>
      </c>
      <c r="C28" s="9">
        <f>IF(B28&lt;&gt;"",INDEX(Table6[N/T/N PABT gốc],MATCH(B28,Table6[Số QĐ bồi thường gốc],0)),"")</f>
        <v>45387</v>
      </c>
      <c r="D28" s="8"/>
      <c r="E28" s="9" t="str" cm="1">
        <f t="array" ref="E28">IF(D28="","",IF(OR(B28="Tạm ứng",B28=""),"",INDEX('2. QĐ PABT Đ.Chỉnh'!$E$7:$E$19989,MATCH(B28&amp;D28,'2. QĐ PABT Đ.Chỉnh'!$B$7:$B$19989&amp;'2. QĐ PABT Đ.Chỉnh'!$D$7:$D$19989,0))))</f>
        <v/>
      </c>
      <c r="F28" s="8">
        <v>230</v>
      </c>
      <c r="G28" s="9" cm="1">
        <f t="array" ref="G28">IF(F28="","",INDEX('1. QĐ PABT K.hợp GPMB nhanh'!$E$7:$E$19999,MATCH(B28&amp;F28,'1. QĐ PABT K.hợp GPMB nhanh'!$B$7:$B$19999&amp;'1. QĐ PABT K.hợp GPMB nhanh'!$D$7:$D$19999,0)))</f>
        <v>45392</v>
      </c>
      <c r="H28" s="8"/>
      <c r="I28" s="9" t="str" cm="1">
        <f t="array" ref="I28">IF(H28="","",IF(OR(F28="Tạm ứng",F28=""),"",INDEX('2.1 QĐ GPMB nhanh Đ.Chỉnh'!$E$7:$E$19999,MATCH(F28&amp;H28,'2.1 QĐ GPMB nhanh Đ.Chỉnh'!$B$7:$B$19999&amp;'2.1 QĐ GPMB nhanh Đ.Chỉnh'!$D$7:$D$19999,0))))</f>
        <v/>
      </c>
      <c r="J28" s="8" t="s">
        <v>110</v>
      </c>
      <c r="K28" s="8" t="s">
        <v>152</v>
      </c>
      <c r="L28" s="8" t="s">
        <v>112</v>
      </c>
      <c r="M28" s="8" t="s">
        <v>114</v>
      </c>
      <c r="N28" s="8" t="s">
        <v>5</v>
      </c>
      <c r="O28" s="8" t="s">
        <v>6</v>
      </c>
      <c r="P28" s="8" t="s">
        <v>109</v>
      </c>
      <c r="Q28" s="7" t="s">
        <v>172</v>
      </c>
      <c r="R28" s="67">
        <v>45393</v>
      </c>
      <c r="S28" s="124" t="s">
        <v>176</v>
      </c>
      <c r="T28" s="124">
        <v>60000000</v>
      </c>
      <c r="U28" s="124"/>
    </row>
    <row r="29" spans="1:21" ht="25.5" x14ac:dyDescent="0.25">
      <c r="A29" s="7">
        <v>19</v>
      </c>
      <c r="B29" s="8">
        <v>130</v>
      </c>
      <c r="C29" s="9">
        <f>IF(B29&lt;&gt;"",INDEX(Table6[N/T/N PABT gốc],MATCH(B29,Table6[Số QĐ bồi thường gốc],0)),"")</f>
        <v>45387</v>
      </c>
      <c r="D29" s="8">
        <v>131</v>
      </c>
      <c r="E29" s="9" cm="1">
        <f t="array" ref="E29">IF(D29="","",IF(OR(B29="Tạm ứng",B29=""),"",INDEX('2. QĐ PABT Đ.Chỉnh'!$E$7:$E$19989,MATCH(B29&amp;D29,'2. QĐ PABT Đ.Chỉnh'!$B$7:$B$19989&amp;'2. QĐ PABT Đ.Chỉnh'!$D$7:$D$19989,0))))</f>
        <v>45392</v>
      </c>
      <c r="F29" s="8">
        <v>230</v>
      </c>
      <c r="G29" s="9" cm="1">
        <f t="array" ref="G29">IF(F29="","",INDEX('1. QĐ PABT K.hợp GPMB nhanh'!$E$7:$E$19999,MATCH(B29&amp;F29,'1. QĐ PABT K.hợp GPMB nhanh'!$B$7:$B$19999&amp;'1. QĐ PABT K.hợp GPMB nhanh'!$D$7:$D$19999,0)))</f>
        <v>45392</v>
      </c>
      <c r="H29" s="8">
        <v>231</v>
      </c>
      <c r="I29" s="9" cm="1">
        <f t="array" ref="I29">IF(H29="","",IF(OR(F29="Tạm ứng",F29=""),"",INDEX('2.1 QĐ GPMB nhanh Đ.Chỉnh'!$E$7:$E$19999,MATCH(F29&amp;H29,'2.1 QĐ GPMB nhanh Đ.Chỉnh'!$B$7:$B$19999&amp;'2.1 QĐ GPMB nhanh Đ.Chỉnh'!$D$7:$D$19999,0))))</f>
        <v>45397</v>
      </c>
      <c r="J29" s="8" t="s">
        <v>110</v>
      </c>
      <c r="K29" s="8" t="s">
        <v>152</v>
      </c>
      <c r="L29" s="8" t="s">
        <v>112</v>
      </c>
      <c r="M29" s="8" t="s">
        <v>114</v>
      </c>
      <c r="N29" s="8" t="s">
        <v>5</v>
      </c>
      <c r="O29" s="8" t="s">
        <v>6</v>
      </c>
      <c r="P29" s="8" t="s">
        <v>109</v>
      </c>
      <c r="Q29" s="7" t="s">
        <v>172</v>
      </c>
      <c r="R29" s="67">
        <v>45398</v>
      </c>
      <c r="S29" s="124" t="s">
        <v>177</v>
      </c>
      <c r="T29" s="124">
        <v>70000000</v>
      </c>
      <c r="U29" s="124"/>
    </row>
    <row r="30" spans="1:21" ht="25.5" x14ac:dyDescent="0.25">
      <c r="A30" s="7">
        <v>20</v>
      </c>
      <c r="B30" s="8">
        <v>130</v>
      </c>
      <c r="C30" s="9">
        <f>IF(B30&lt;&gt;"",INDEX(Table6[N/T/N PABT gốc],MATCH(B30,Table6[Số QĐ bồi thường gốc],0)),"")</f>
        <v>45387</v>
      </c>
      <c r="D30" s="8">
        <v>132</v>
      </c>
      <c r="E30" s="9" cm="1">
        <f t="array" ref="E30">IF(D30="","",IF(OR(B30="Tạm ứng",B30=""),"",INDEX('2. QĐ PABT Đ.Chỉnh'!$E$7:$E$19989,MATCH(B30&amp;D30,'2. QĐ PABT Đ.Chỉnh'!$B$7:$B$19989&amp;'2. QĐ PABT Đ.Chỉnh'!$D$7:$D$19989,0))))</f>
        <v>45397</v>
      </c>
      <c r="F30" s="8">
        <v>230</v>
      </c>
      <c r="G30" s="9" cm="1">
        <f t="array" ref="G30">IF(F30="","",INDEX('1. QĐ PABT K.hợp GPMB nhanh'!$E$7:$E$19999,MATCH(B30&amp;F30,'1. QĐ PABT K.hợp GPMB nhanh'!$B$7:$B$19999&amp;'1. QĐ PABT K.hợp GPMB nhanh'!$D$7:$D$19999,0)))</f>
        <v>45392</v>
      </c>
      <c r="H30" s="8" t="s">
        <v>136</v>
      </c>
      <c r="I30" s="9" cm="1">
        <f t="array" ref="I30">IF(H30="","",IF(OR(F30="Tạm ứng",F30=""),"",INDEX('2.1 QĐ GPMB nhanh Đ.Chỉnh'!$E$7:$E$19999,MATCH(F30&amp;H30,'2.1 QĐ GPMB nhanh Đ.Chỉnh'!$B$7:$B$19999&amp;'2.1 QĐ GPMB nhanh Đ.Chỉnh'!$D$7:$D$19999,0))))</f>
        <v>45402</v>
      </c>
      <c r="J30" s="8" t="s">
        <v>110</v>
      </c>
      <c r="K30" s="8" t="s">
        <v>152</v>
      </c>
      <c r="L30" s="8" t="s">
        <v>112</v>
      </c>
      <c r="M30" s="8" t="s">
        <v>114</v>
      </c>
      <c r="N30" s="8" t="s">
        <v>5</v>
      </c>
      <c r="O30" s="8" t="s">
        <v>76</v>
      </c>
      <c r="P30" s="8" t="s">
        <v>109</v>
      </c>
      <c r="Q30" s="7" t="s">
        <v>170</v>
      </c>
      <c r="R30" s="67">
        <v>45403</v>
      </c>
      <c r="S30" s="124" t="s">
        <v>178</v>
      </c>
      <c r="T30" s="124">
        <v>80000000</v>
      </c>
      <c r="U30" s="124"/>
    </row>
    <row r="31" spans="1:21" ht="25.5" x14ac:dyDescent="0.25">
      <c r="A31" s="7">
        <v>21</v>
      </c>
      <c r="B31" s="8">
        <v>140</v>
      </c>
      <c r="C31" s="9">
        <f>IF(B31&lt;&gt;"",INDEX(Table6[N/T/N PABT gốc],MATCH(B31,Table6[Số QĐ bồi thường gốc],0)),"")</f>
        <v>45417</v>
      </c>
      <c r="D31" s="8"/>
      <c r="E31" s="9" t="str" cm="1">
        <f t="array" ref="E31">IF(D31="","",IF(OR(B31="Tạm ứng",B31=""),"",INDEX('2. QĐ PABT Đ.Chỉnh'!$E$7:$E$19989,MATCH(B31&amp;D31,'2. QĐ PABT Đ.Chỉnh'!$B$7:$B$19989&amp;'2. QĐ PABT Đ.Chỉnh'!$D$7:$D$19989,0))))</f>
        <v/>
      </c>
      <c r="F31" s="8">
        <v>240</v>
      </c>
      <c r="G31" s="9" cm="1">
        <f t="array" ref="G31">IF(F31="","",INDEX('1. QĐ PABT K.hợp GPMB nhanh'!$E$7:$E$19999,MATCH(B31&amp;F31,'1. QĐ PABT K.hợp GPMB nhanh'!$B$7:$B$19999&amp;'1. QĐ PABT K.hợp GPMB nhanh'!$D$7:$D$19999,0)))</f>
        <v>45422</v>
      </c>
      <c r="H31" s="8"/>
      <c r="I31" s="9" t="str" cm="1">
        <f t="array" ref="I31">IF(H31="","",IF(OR(F31="Tạm ứng",F31=""),"",INDEX('2.1 QĐ GPMB nhanh Đ.Chỉnh'!$E$7:$E$19999,MATCH(F31&amp;H31,'2.1 QĐ GPMB nhanh Đ.Chỉnh'!$B$7:$B$19999&amp;'2.1 QĐ GPMB nhanh Đ.Chỉnh'!$D$7:$D$19999,0))))</f>
        <v/>
      </c>
      <c r="J31" s="8" t="s">
        <v>110</v>
      </c>
      <c r="K31" s="8" t="s">
        <v>152</v>
      </c>
      <c r="L31" s="8" t="s">
        <v>112</v>
      </c>
      <c r="M31" s="8" t="s">
        <v>114</v>
      </c>
      <c r="N31" s="8" t="s">
        <v>5</v>
      </c>
      <c r="O31" s="8" t="s">
        <v>6</v>
      </c>
      <c r="P31" s="8" t="s">
        <v>109</v>
      </c>
      <c r="Q31" s="7" t="s">
        <v>172</v>
      </c>
      <c r="R31" s="67">
        <v>45423</v>
      </c>
      <c r="S31" s="124" t="s">
        <v>179</v>
      </c>
      <c r="T31" s="124">
        <v>100000000</v>
      </c>
      <c r="U31" s="124"/>
    </row>
    <row r="32" spans="1:21" ht="38.25" x14ac:dyDescent="0.25">
      <c r="A32" s="7">
        <v>22</v>
      </c>
      <c r="B32" s="8">
        <v>140</v>
      </c>
      <c r="C32" s="9">
        <f>IF(B32&lt;&gt;"",INDEX(Table6[N/T/N PABT gốc],MATCH(B32,Table6[Số QĐ bồi thường gốc],0)),"")</f>
        <v>45417</v>
      </c>
      <c r="D32" s="8"/>
      <c r="E32" s="9" t="str" cm="1">
        <f t="array" ref="E32">IF(D32="","",IF(OR(B32="Tạm ứng",B32=""),"",INDEX('2. QĐ PABT Đ.Chỉnh'!$E$7:$E$19989,MATCH(B32&amp;D32,'2. QĐ PABT Đ.Chỉnh'!$B$7:$B$19989&amp;'2. QĐ PABT Đ.Chỉnh'!$D$7:$D$19989,0))))</f>
        <v/>
      </c>
      <c r="F32" s="8">
        <v>240</v>
      </c>
      <c r="G32" s="9" cm="1">
        <f t="array" ref="G32">IF(F32="","",INDEX('1. QĐ PABT K.hợp GPMB nhanh'!$E$7:$E$19999,MATCH(B32&amp;F32,'1. QĐ PABT K.hợp GPMB nhanh'!$B$7:$B$19999&amp;'1. QĐ PABT K.hợp GPMB nhanh'!$D$7:$D$19999,0)))</f>
        <v>45422</v>
      </c>
      <c r="H32" s="8">
        <v>241</v>
      </c>
      <c r="I32" s="9" cm="1">
        <f t="array" ref="I32">IF(H32="","",IF(OR(F32="Tạm ứng",F32=""),"",INDEX('2.1 QĐ GPMB nhanh Đ.Chỉnh'!$E$7:$E$19999,MATCH(F32&amp;H32,'2.1 QĐ GPMB nhanh Đ.Chỉnh'!$B$7:$B$19999&amp;'2.1 QĐ GPMB nhanh Đ.Chỉnh'!$D$7:$D$19999,0))))</f>
        <v>45432</v>
      </c>
      <c r="J32" s="8" t="s">
        <v>110</v>
      </c>
      <c r="K32" s="8" t="s">
        <v>152</v>
      </c>
      <c r="L32" s="8" t="s">
        <v>112</v>
      </c>
      <c r="M32" s="8" t="s">
        <v>114</v>
      </c>
      <c r="N32" s="8" t="s">
        <v>7</v>
      </c>
      <c r="O32" s="8" t="s">
        <v>6</v>
      </c>
      <c r="P32" s="8" t="s">
        <v>109</v>
      </c>
      <c r="Q32" s="7" t="s">
        <v>180</v>
      </c>
      <c r="R32" s="67">
        <v>45433</v>
      </c>
      <c r="S32" s="124" t="s">
        <v>181</v>
      </c>
      <c r="T32" s="124">
        <v>0</v>
      </c>
      <c r="U32" s="124">
        <v>3000000</v>
      </c>
    </row>
    <row r="33" spans="1:21" ht="38.25" x14ac:dyDescent="0.25">
      <c r="A33" s="7">
        <v>23</v>
      </c>
      <c r="B33" s="8">
        <v>140</v>
      </c>
      <c r="C33" s="9">
        <f>IF(B33&lt;&gt;"",INDEX(Table6[N/T/N PABT gốc],MATCH(B33,Table6[Số QĐ bồi thường gốc],0)),"")</f>
        <v>45417</v>
      </c>
      <c r="D33" s="8"/>
      <c r="E33" s="9" t="str" cm="1">
        <f t="array" ref="E33">IF(D33="","",IF(OR(B33="Tạm ứng",B33=""),"",INDEX('2. QĐ PABT Đ.Chỉnh'!$E$7:$E$19989,MATCH(B33&amp;D33,'2. QĐ PABT Đ.Chỉnh'!$B$7:$B$19989&amp;'2. QĐ PABT Đ.Chỉnh'!$D$7:$D$19989,0))))</f>
        <v/>
      </c>
      <c r="F33" s="8">
        <v>240</v>
      </c>
      <c r="G33" s="9" cm="1">
        <f t="array" ref="G33">IF(F33="","",INDEX('1. QĐ PABT K.hợp GPMB nhanh'!$E$7:$E$19999,MATCH(B33&amp;F33,'1. QĐ PABT K.hợp GPMB nhanh'!$B$7:$B$19999&amp;'1. QĐ PABT K.hợp GPMB nhanh'!$D$7:$D$19999,0)))</f>
        <v>45422</v>
      </c>
      <c r="H33" s="8">
        <v>241</v>
      </c>
      <c r="I33" s="9" cm="1">
        <f t="array" ref="I33">IF(H33="","",IF(OR(F33="Tạm ứng",F33=""),"",INDEX('2.1 QĐ GPMB nhanh Đ.Chỉnh'!$E$7:$E$19999,MATCH(F33&amp;H33,'2.1 QĐ GPMB nhanh Đ.Chỉnh'!$B$7:$B$19999&amp;'2.1 QĐ GPMB nhanh Đ.Chỉnh'!$D$7:$D$19999,0))))</f>
        <v>45432</v>
      </c>
      <c r="J33" s="8" t="s">
        <v>110</v>
      </c>
      <c r="K33" s="8" t="s">
        <v>152</v>
      </c>
      <c r="L33" s="8" t="s">
        <v>112</v>
      </c>
      <c r="M33" s="8" t="s">
        <v>114</v>
      </c>
      <c r="N33" s="8" t="s">
        <v>7</v>
      </c>
      <c r="O33" s="8" t="s">
        <v>6</v>
      </c>
      <c r="P33" s="8" t="s">
        <v>109</v>
      </c>
      <c r="Q33" s="7" t="s">
        <v>180</v>
      </c>
      <c r="R33" s="67">
        <v>45437</v>
      </c>
      <c r="S33" s="124" t="s">
        <v>183</v>
      </c>
      <c r="T33" s="39">
        <v>0</v>
      </c>
      <c r="U33" s="39">
        <v>7000000</v>
      </c>
    </row>
    <row r="34" spans="1:21" x14ac:dyDescent="0.25">
      <c r="A34" s="7">
        <v>24</v>
      </c>
      <c r="B34" s="8"/>
      <c r="C34" s="9" t="str">
        <f>IF(B34&lt;&gt;"",INDEX(Table6[N/T/N PABT gốc],MATCH(B34,Table6[Số QĐ bồi thường gốc],0)),"")</f>
        <v/>
      </c>
      <c r="D34" s="8"/>
      <c r="E34" s="9" t="str" cm="1">
        <f t="array" ref="E34">IF(D34="","",IF(OR(B34="Tạm ứng",B34=""),"",INDEX('2. QĐ PABT Đ.Chỉnh'!$E$7:$E$19989,MATCH(B34&amp;D34,'2. QĐ PABT Đ.Chỉnh'!$B$7:$B$19989&amp;'2. QĐ PABT Đ.Chỉnh'!$D$7:$D$19989,0))))</f>
        <v/>
      </c>
      <c r="F34" s="8"/>
      <c r="G34" s="9" t="str" cm="1">
        <f t="array" ref="G34">IF(F34="","",INDEX('1. QĐ PABT K.hợp GPMB nhanh'!$E$7:$E$19999,MATCH(B34&amp;F34,'1. QĐ PABT K.hợp GPMB nhanh'!$B$7:$B$19999&amp;'1. QĐ PABT K.hợp GPMB nhanh'!$D$7:$D$19999,0)))</f>
        <v/>
      </c>
      <c r="H34" s="8"/>
      <c r="I34" s="9" t="str" cm="1">
        <f t="array" ref="I34">IF(H34="","",IF(OR(F34="Tạm ứng",F34=""),"",INDEX('2.1 QĐ GPMB nhanh Đ.Chỉnh'!$E$7:$E$19999,MATCH(F34&amp;H34,'2.1 QĐ GPMB nhanh Đ.Chỉnh'!$B$7:$B$19999&amp;'2.1 QĐ GPMB nhanh Đ.Chỉnh'!$D$7:$D$19999,0))))</f>
        <v/>
      </c>
      <c r="J34" s="8"/>
      <c r="K34" s="8"/>
      <c r="L34" s="8"/>
      <c r="M34" s="8"/>
      <c r="N34" s="8"/>
      <c r="O34" s="8"/>
      <c r="P34" s="8"/>
      <c r="Q34" s="7"/>
      <c r="R34" s="67"/>
      <c r="S34" s="39"/>
      <c r="T34" s="39"/>
      <c r="U34" s="39"/>
    </row>
    <row r="35" spans="1:21" x14ac:dyDescent="0.25">
      <c r="A35" s="7">
        <v>25</v>
      </c>
      <c r="B35" s="8"/>
      <c r="C35" s="9" t="str">
        <f>IF(B35&lt;&gt;"",INDEX(Table6[N/T/N PABT gốc],MATCH(B35,Table6[Số QĐ bồi thường gốc],0)),"")</f>
        <v/>
      </c>
      <c r="D35" s="8"/>
      <c r="E35" s="9" t="str" cm="1">
        <f t="array" ref="E35">IF(D35="","",IF(OR(B35="Tạm ứng",B35=""),"",INDEX('2. QĐ PABT Đ.Chỉnh'!$E$7:$E$19989,MATCH(B35&amp;D35,'2. QĐ PABT Đ.Chỉnh'!$B$7:$B$19989&amp;'2. QĐ PABT Đ.Chỉnh'!$D$7:$D$19989,0))))</f>
        <v/>
      </c>
      <c r="F35" s="8"/>
      <c r="G35" s="9" t="str" cm="1">
        <f t="array" ref="G35">IF(F35="","",INDEX('1. QĐ PABT K.hợp GPMB nhanh'!$E$7:$E$19999,MATCH(B35&amp;F35,'1. QĐ PABT K.hợp GPMB nhanh'!$B$7:$B$19999&amp;'1. QĐ PABT K.hợp GPMB nhanh'!$D$7:$D$19999,0)))</f>
        <v/>
      </c>
      <c r="H35" s="8"/>
      <c r="I35" s="9" t="str" cm="1">
        <f t="array" ref="I35">IF(H35="","",IF(OR(F35="Tạm ứng",F35=""),"",INDEX('2.1 QĐ GPMB nhanh Đ.Chỉnh'!$E$7:$E$19999,MATCH(F35&amp;H35,'2.1 QĐ GPMB nhanh Đ.Chỉnh'!$B$7:$B$19999&amp;'2.1 QĐ GPMB nhanh Đ.Chỉnh'!$D$7:$D$19999,0))))</f>
        <v/>
      </c>
      <c r="J35" s="8"/>
      <c r="K35" s="8"/>
      <c r="L35" s="8"/>
      <c r="M35" s="8"/>
      <c r="N35" s="8"/>
      <c r="O35" s="8"/>
      <c r="P35" s="8"/>
      <c r="Q35" s="7"/>
      <c r="R35" s="67"/>
      <c r="S35" s="39"/>
      <c r="T35" s="39"/>
      <c r="U35" s="39"/>
    </row>
    <row r="36" spans="1:21" x14ac:dyDescent="0.25">
      <c r="A36" s="7">
        <v>26</v>
      </c>
      <c r="B36" s="8"/>
      <c r="C36" s="9" t="str">
        <f>IF(B36&lt;&gt;"",INDEX(Table6[N/T/N PABT gốc],MATCH(B36,Table6[Số QĐ bồi thường gốc],0)),"")</f>
        <v/>
      </c>
      <c r="D36" s="8"/>
      <c r="E36" s="9" t="str" cm="1">
        <f t="array" ref="E36">IF(D36="","",IF(OR(B36="Tạm ứng",B36=""),"",INDEX('2. QĐ PABT Đ.Chỉnh'!$E$7:$E$19989,MATCH(B36&amp;D36,'2. QĐ PABT Đ.Chỉnh'!$B$7:$B$19989&amp;'2. QĐ PABT Đ.Chỉnh'!$D$7:$D$19989,0))))</f>
        <v/>
      </c>
      <c r="F36" s="8"/>
      <c r="G36" s="9" t="str" cm="1">
        <f t="array" ref="G36">IF(F36="","",INDEX('1. QĐ PABT K.hợp GPMB nhanh'!$E$7:$E$19999,MATCH(B36&amp;F36,'1. QĐ PABT K.hợp GPMB nhanh'!$B$7:$B$19999&amp;'1. QĐ PABT K.hợp GPMB nhanh'!$D$7:$D$19999,0)))</f>
        <v/>
      </c>
      <c r="H36" s="8"/>
      <c r="I36" s="9" t="str" cm="1">
        <f t="array" ref="I36">IF(H36="","",IF(OR(F36="Tạm ứng",F36=""),"",INDEX('2.1 QĐ GPMB nhanh Đ.Chỉnh'!$E$7:$E$19999,MATCH(F36&amp;H36,'2.1 QĐ GPMB nhanh Đ.Chỉnh'!$B$7:$B$19999&amp;'2.1 QĐ GPMB nhanh Đ.Chỉnh'!$D$7:$D$19999,0))))</f>
        <v/>
      </c>
      <c r="J36" s="8"/>
      <c r="K36" s="8"/>
      <c r="L36" s="8"/>
      <c r="M36" s="8"/>
      <c r="N36" s="8"/>
      <c r="O36" s="8"/>
      <c r="P36" s="8"/>
      <c r="Q36" s="7"/>
      <c r="R36" s="67"/>
      <c r="S36" s="39"/>
      <c r="T36" s="39"/>
      <c r="U36" s="39"/>
    </row>
  </sheetData>
  <autoFilter ref="A7:U36" xr:uid="{573E01CA-DFD8-42A2-ACC9-74168F5A7ED8}"/>
  <mergeCells count="17">
    <mergeCell ref="J8:M8"/>
    <mergeCell ref="J9:M9"/>
    <mergeCell ref="B9:C9"/>
    <mergeCell ref="D9:E9"/>
    <mergeCell ref="D8:E8"/>
    <mergeCell ref="B8:C8"/>
    <mergeCell ref="F8:G8"/>
    <mergeCell ref="F9:G9"/>
    <mergeCell ref="H8:I8"/>
    <mergeCell ref="H9:I9"/>
    <mergeCell ref="A1:E1"/>
    <mergeCell ref="A2:E2"/>
    <mergeCell ref="N6:U6"/>
    <mergeCell ref="J6:M6"/>
    <mergeCell ref="A6:E6"/>
    <mergeCell ref="F6:I6"/>
    <mergeCell ref="A4:P4"/>
  </mergeCells>
  <phoneticPr fontId="15" type="noConversion"/>
  <dataValidations count="11">
    <dataValidation type="list" allowBlank="1" showInputMessage="1" showErrorMessage="1" sqref="B11:B36" xr:uid="{E385A010-9DE7-41CB-8D0B-4311DCFDB94C}">
      <formula1>Số_QĐ_phương_án_bồi_thường_gốc</formula1>
    </dataValidation>
    <dataValidation type="list" allowBlank="1" showInputMessage="1" showErrorMessage="1" sqref="F11:F36" xr:uid="{567D5281-D646-42FA-B5D3-48E683167E4D}">
      <formula1>THUCHIPABT_sốqđthưởnggpmbnhanhgốc</formula1>
    </dataValidation>
    <dataValidation type="list" allowBlank="1" showInputMessage="1" showErrorMessage="1" sqref="N11:N36" xr:uid="{98E52BF7-93B7-41E2-B3FD-8AD1CCDB240A}">
      <formula1>Loại_chứng_từ</formula1>
    </dataValidation>
    <dataValidation type="list" allowBlank="1" showInputMessage="1" showErrorMessage="1" sqref="O11:O36" xr:uid="{537B47A1-5AA9-4AFC-90DE-AA3B73E627B7}">
      <formula1>Hình_thức_thu_chi</formula1>
    </dataValidation>
    <dataValidation type="list" allowBlank="1" showInputMessage="1" showErrorMessage="1" sqref="D11:D36" xr:uid="{CFF07F5B-FBA4-4EF7-84FB-D89637EF8184}">
      <formula1>THUCHIPABT_PABT_điều_chỉnh</formula1>
    </dataValidation>
    <dataValidation type="list" allowBlank="1" showInputMessage="1" showErrorMessage="1" sqref="H11:H26 H28:H36 H27" xr:uid="{36133224-D0E5-4310-B828-3AC3B8E7328B}">
      <formula1>THUCHIPABT_GPMBNHANH_điều_chỉnh</formula1>
    </dataValidation>
    <dataValidation type="list" allowBlank="1" showInputMessage="1" showErrorMessage="1" sqref="J11:J36" xr:uid="{FFFF1BC2-C6A3-4F9C-8077-A251278E4BC8}">
      <formula1>THUCHIPABT_Họ_Tên</formula1>
    </dataValidation>
    <dataValidation type="list" allowBlank="1" showInputMessage="1" showErrorMessage="1" sqref="K11:K36" xr:uid="{36CBB6A2-A990-43A3-8782-66979AF12BB0}">
      <formula1>THUCHIPABT_Xã</formula1>
    </dataValidation>
    <dataValidation type="list" allowBlank="1" showInputMessage="1" showErrorMessage="1" sqref="L11:L36" xr:uid="{1E744631-0760-49CE-AE6A-449B2E9031AF}">
      <formula1>THUCHIPABT_KHUHC</formula1>
    </dataValidation>
    <dataValidation type="list" allowBlank="1" showInputMessage="1" showErrorMessage="1" sqref="M11:M36" xr:uid="{97EB3F83-269A-4CDB-85C9-6A2F0F42C6B1}">
      <formula1>THUCHIPABT_CMT_CCCD</formula1>
    </dataValidation>
    <dataValidation type="list" allowBlank="1" showInputMessage="1" showErrorMessage="1" sqref="P11:P36" xr:uid="{4DE2FA74-F35F-4E2A-B3CF-D02F0817767D}">
      <formula1>Hạng_mục_chi</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1A14-569C-4243-AEAD-B975DDC895FB}">
  <sheetPr>
    <tabColor rgb="FF92D050"/>
  </sheetPr>
  <dimension ref="A1:M22"/>
  <sheetViews>
    <sheetView zoomScale="90" zoomScaleNormal="90" workbookViewId="0">
      <selection activeCell="I15" sqref="I15"/>
    </sheetView>
  </sheetViews>
  <sheetFormatPr defaultColWidth="8.85546875" defaultRowHeight="12.75" x14ac:dyDescent="0.25"/>
  <cols>
    <col min="1" max="1" width="5.28515625" style="65" customWidth="1"/>
    <col min="2" max="3" width="12.28515625" style="66" customWidth="1"/>
    <col min="4" max="4" width="20.42578125" style="66" bestFit="1" customWidth="1"/>
    <col min="5" max="7" width="17.140625" style="66" customWidth="1"/>
    <col min="8" max="13" width="17.42578125" style="109" customWidth="1"/>
    <col min="14" max="16384" width="8.85546875" style="65"/>
  </cols>
  <sheetData>
    <row r="1" spans="1:13" ht="15.75" x14ac:dyDescent="0.25">
      <c r="A1" s="168" t="s">
        <v>9</v>
      </c>
      <c r="B1" s="168"/>
      <c r="C1" s="168"/>
      <c r="D1" s="168"/>
      <c r="E1" s="168"/>
      <c r="F1" s="168"/>
      <c r="G1" s="1"/>
      <c r="H1" s="44"/>
      <c r="I1" s="44"/>
      <c r="J1" s="112"/>
      <c r="K1" s="112"/>
      <c r="L1" s="112"/>
      <c r="M1" s="112"/>
    </row>
    <row r="2" spans="1:13" ht="15.75" x14ac:dyDescent="0.25">
      <c r="A2" s="168" t="s">
        <v>10</v>
      </c>
      <c r="B2" s="168"/>
      <c r="C2" s="168"/>
      <c r="D2" s="168"/>
      <c r="E2" s="168"/>
      <c r="F2" s="168"/>
      <c r="G2" s="1"/>
      <c r="H2" s="44"/>
      <c r="I2" s="44"/>
      <c r="J2" s="112"/>
      <c r="K2" s="112"/>
      <c r="L2" s="112"/>
      <c r="M2" s="112"/>
    </row>
    <row r="3" spans="1:13" ht="15.75" x14ac:dyDescent="0.25">
      <c r="A3" s="2"/>
      <c r="B3" s="1"/>
      <c r="C3" s="1"/>
      <c r="D3" s="1"/>
      <c r="E3" s="20"/>
      <c r="F3" s="21"/>
      <c r="G3" s="21"/>
      <c r="H3" s="113"/>
      <c r="I3" s="114"/>
      <c r="J3" s="115"/>
      <c r="K3" s="115"/>
      <c r="L3" s="115"/>
      <c r="M3" s="115"/>
    </row>
    <row r="4" spans="1:13" ht="13.9" customHeight="1" x14ac:dyDescent="0.25">
      <c r="A4" s="171" t="s">
        <v>11</v>
      </c>
      <c r="B4" s="171"/>
      <c r="C4" s="171"/>
      <c r="D4" s="171"/>
      <c r="E4" s="171"/>
      <c r="F4" s="171"/>
      <c r="G4" s="171"/>
      <c r="H4" s="171"/>
      <c r="I4" s="171"/>
      <c r="J4" s="171"/>
      <c r="K4" s="171"/>
      <c r="L4" s="171"/>
      <c r="M4" s="171"/>
    </row>
    <row r="5" spans="1:13" ht="21.6" customHeight="1" x14ac:dyDescent="0.25">
      <c r="A5" s="168" t="s">
        <v>250</v>
      </c>
      <c r="B5" s="168"/>
      <c r="C5" s="168"/>
      <c r="D5" s="168"/>
      <c r="E5" s="168"/>
      <c r="F5" s="168"/>
      <c r="G5" s="168"/>
      <c r="H5" s="168"/>
      <c r="I5" s="168"/>
      <c r="J5" s="168"/>
      <c r="K5" s="168"/>
      <c r="L5" s="168"/>
      <c r="M5" s="168"/>
    </row>
    <row r="6" spans="1:13" x14ac:dyDescent="0.25">
      <c r="A6" s="16"/>
      <c r="B6" s="13"/>
      <c r="C6" s="13"/>
      <c r="D6" s="13"/>
      <c r="E6" s="13"/>
      <c r="F6" s="13"/>
      <c r="G6" s="13"/>
      <c r="H6" s="51"/>
      <c r="I6" s="51"/>
      <c r="J6" s="51"/>
      <c r="K6" s="51"/>
      <c r="L6" s="51"/>
      <c r="M6" s="51"/>
    </row>
    <row r="7" spans="1:13" x14ac:dyDescent="0.25">
      <c r="A7" s="174" t="s">
        <v>108</v>
      </c>
      <c r="B7" s="175"/>
      <c r="C7" s="183"/>
      <c r="D7" s="174" t="s">
        <v>40</v>
      </c>
      <c r="E7" s="175"/>
      <c r="F7" s="175"/>
      <c r="G7" s="183"/>
      <c r="H7" s="176" t="s">
        <v>249</v>
      </c>
      <c r="I7" s="176"/>
      <c r="J7" s="176"/>
      <c r="K7" s="176" t="s">
        <v>109</v>
      </c>
      <c r="L7" s="176"/>
      <c r="M7" s="176"/>
    </row>
    <row r="8" spans="1:13" ht="38.25" x14ac:dyDescent="0.25">
      <c r="A8" s="8" t="s">
        <v>0</v>
      </c>
      <c r="B8" s="5" t="s">
        <v>200</v>
      </c>
      <c r="C8" s="5" t="s">
        <v>69</v>
      </c>
      <c r="D8" s="4" t="s">
        <v>36</v>
      </c>
      <c r="E8" s="4" t="s">
        <v>133</v>
      </c>
      <c r="F8" s="5" t="s">
        <v>154</v>
      </c>
      <c r="G8" s="5" t="s">
        <v>82</v>
      </c>
      <c r="H8" s="104" t="s">
        <v>78</v>
      </c>
      <c r="I8" s="104" t="s">
        <v>79</v>
      </c>
      <c r="J8" s="104" t="s">
        <v>158</v>
      </c>
      <c r="K8" s="104" t="s">
        <v>78</v>
      </c>
      <c r="L8" s="104" t="s">
        <v>79</v>
      </c>
      <c r="M8" s="104" t="s">
        <v>158</v>
      </c>
    </row>
    <row r="9" spans="1:13" x14ac:dyDescent="0.25">
      <c r="A9" s="90"/>
      <c r="B9" s="90"/>
      <c r="C9" s="90"/>
      <c r="D9" s="90"/>
      <c r="E9" s="90"/>
      <c r="F9" s="90"/>
      <c r="G9" s="90"/>
      <c r="H9" s="38">
        <f t="shared" ref="H9:M9" si="0">SUBTOTAL(9,H10:H19970)</f>
        <v>4200000000</v>
      </c>
      <c r="I9" s="38">
        <f t="shared" si="0"/>
        <v>100000000</v>
      </c>
      <c r="J9" s="38">
        <f t="shared" si="0"/>
        <v>4100000000</v>
      </c>
      <c r="K9" s="38">
        <f t="shared" si="0"/>
        <v>320000000</v>
      </c>
      <c r="L9" s="38">
        <f t="shared" si="0"/>
        <v>10000000</v>
      </c>
      <c r="M9" s="38">
        <f t="shared" si="0"/>
        <v>310000000</v>
      </c>
    </row>
    <row r="10" spans="1:13" x14ac:dyDescent="0.25">
      <c r="A10" s="145">
        <v>1</v>
      </c>
      <c r="B10" s="146" cm="1">
        <f t="array" ref="B10:G17">_xlfn.UNIQUE(_xlfn.SORTBY(_xlfn.HSTACK(_xlfn._xlws.FILTER('9. Thu, chi PABT'!$B$11:$B$19981,('9. Thu, chi PABT'!$B$11:$B$19981&lt;&gt;"Tạm ứng")*('9. Thu, chi PABT'!$D$11:$D$19981&lt;&gt;"Tạm ứng")*('9. Thu, chi PABT'!$F$11:$F$19981&lt;&gt;"Tạm ứng")*('9. Thu, chi PABT'!$H$11:$H$19981&lt;&gt;"Tạm ứng"),0),_xlfn._xlws.FILTER('9. Thu, chi PABT'!$F$11:$F$19981,('9. Thu, chi PABT'!$B$11:$B$19981&lt;&gt;"Tạm ứng")*('9. Thu, chi PABT'!$D$11:$D$19981&lt;&gt;"Tạm ứng")*('9. Thu, chi PABT'!$F$11:$F$19981&lt;&gt;"Tạm ứng")*('9. Thu, chi PABT'!$H$11:$H$19981&lt;&gt;"Tạm ứng"),0),_xlfn._xlws.FILTER('9. Thu, chi PABT'!$J$11:$M$19981,('9. Thu, chi PABT'!$B$11:$B$19981&lt;&gt;"Tạm ứng")*('9. Thu, chi PABT'!$D$11:$D$19981&lt;&gt;"Tạm ứng")*('9. Thu, chi PABT'!$F$11:$F$19981&lt;&gt;"Tạm ứng")*('9. Thu, chi PABT'!$H$11:$H$19981&lt;&gt;"Tạm ứng"),0)),_xlfn._xlws.FILTER('9. Thu, chi PABT'!$B$11:$B$19981,('9. Thu, chi PABT'!$B$11:$B$19981&lt;&gt;"Tạm ứng")*('9. Thu, chi PABT'!$D$11:$D$19981&lt;&gt;"Tạm ứng")*('9. Thu, chi PABT'!$F$11:$F$19981&lt;&gt;"Tạm ứng")*('9. Thu, chi PABT'!$H$11:$H$19981&lt;&gt;"Tạm ứng"),0),1,_xlfn._xlws.FILTER('9. Thu, chi PABT'!$F$11:$F$19981,('9. Thu, chi PABT'!$B$11:$B$19981&lt;&gt;"Tạm ứng")*('9. Thu, chi PABT'!$D$11:$D$19981&lt;&gt;"Tạm ứng")*('9. Thu, chi PABT'!$F$11:$F$19981&lt;&gt;"Tạm ứng")*('9. Thu, chi PABT'!$H$11:$H$19981&lt;&gt;"Tạm ứng"),0),1))</f>
        <v>110</v>
      </c>
      <c r="C10" s="146">
        <v>0</v>
      </c>
      <c r="D10" s="146" t="str">
        <v>Nguyễn Đức Anh</v>
      </c>
      <c r="E10" s="146" t="str">
        <v>Tiên Cát</v>
      </c>
      <c r="F10" s="146" t="str">
        <v>Minh Hà</v>
      </c>
      <c r="G10" s="146" t="str">
        <v>123A</v>
      </c>
      <c r="H10" s="136">
        <f>SUMIFS('9. Thu, chi PABT'!$T$11:$T$20001,'9. Thu, chi PABT'!$J$11:$J$20001,'9.1 TH thu,chi PABT+GPMB nhanh '!$D10,'9. Thu, chi PABT'!$K$11:$K$20001,'9.1 TH thu,chi PABT+GPMB nhanh '!$E10,'9. Thu, chi PABT'!$L$11:$L$20001,'9.1 TH thu,chi PABT+GPMB nhanh '!$F10,'9. Thu, chi PABT'!$M$11:$M$20001,'9.1 TH thu,chi PABT+GPMB nhanh '!$G10,'9. Thu, chi PABT'!$B$11:$B$20001,'9.1 TH thu,chi PABT+GPMB nhanh '!$B10,'9. Thu, chi PABT'!$D$11:$D$20001,"&lt;&gt;"&amp;"Tạm ứng",'9. Thu, chi PABT'!$F$11:$F$20001,IF('9.1 TH thu,chi PABT+GPMB nhanh '!$C10=0,"",'9.1 TH thu,chi PABT+GPMB nhanh '!$C10),'9. Thu, chi PABT'!$H$11:$H$20001,"&lt;&gt;"&amp;"Tạm ứng")-SUMIFS('9. Thu, chi PABT'!$T$11:$T$20001,'9. Thu, chi PABT'!$J$11:$J$20001,'9.1 TH thu,chi PABT+GPMB nhanh '!$D10,'9. Thu, chi PABT'!$K$11:$K$20001,'9.1 TH thu,chi PABT+GPMB nhanh '!$E10,'9. Thu, chi PABT'!$L$11:$L$20001,'9.1 TH thu,chi PABT+GPMB nhanh '!$F10,'9. Thu, chi PABT'!$M$11:$M$20001,'9.1 TH thu,chi PABT+GPMB nhanh '!$G10,'9. Thu, chi PABT'!$B$11:$B$20001,'9.1 TH thu,chi PABT+GPMB nhanh '!$B10,'9. Thu, chi PABT'!$F$11:$F$20001,"&lt;&gt;"&amp;"Tạm ứng",'9. Thu, chi PABT'!$F$11:$F$20001,'9.1 TH thu,chi PABT+GPMB nhanh '!$C10,'9. Thu, chi PABT'!$H$11:$H$20001,"&lt;&gt;"&amp;"Tạm ứng")</f>
        <v>200000000</v>
      </c>
      <c r="I10" s="136">
        <f>SUMIFS('9. Thu, chi PABT'!$U$11:$U$20001,'9. Thu, chi PABT'!$J$11:$J$20001,'9.1 TH thu,chi PABT+GPMB nhanh '!$D10,'9. Thu, chi PABT'!$K$11:$K$20001,'9.1 TH thu,chi PABT+GPMB nhanh '!$E10,'9. Thu, chi PABT'!$L$11:$L$20001,'9.1 TH thu,chi PABT+GPMB nhanh '!$F10,'9. Thu, chi PABT'!$M$11:$M$20001,'9.1 TH thu,chi PABT+GPMB nhanh '!$G10,'9. Thu, chi PABT'!$B$11:$B$20001,'9.1 TH thu,chi PABT+GPMB nhanh '!$B10,'9. Thu, chi PABT'!$D$11:$D$20001,"&lt;&gt;"&amp;"Tạm ứng",'9. Thu, chi PABT'!$F$11:$F$20001,IF('9.1 TH thu,chi PABT+GPMB nhanh '!$C10=0,"",'9.1 TH thu,chi PABT+GPMB nhanh '!$C10),'9. Thu, chi PABT'!$H$11:$H$20001,"&lt;&gt;"&amp;"Tạm ứng")-SUMIFS('9. Thu, chi PABT'!$U$11:$U$20001,'9. Thu, chi PABT'!$J$11:$J$20001,'9.1 TH thu,chi PABT+GPMB nhanh '!$D10,'9. Thu, chi PABT'!$K$11:$K$20001,'9.1 TH thu,chi PABT+GPMB nhanh '!$E10,'9. Thu, chi PABT'!$L$11:$L$20001,'9.1 TH thu,chi PABT+GPMB nhanh '!$F10,'9. Thu, chi PABT'!$M$11:$M$20001,'9.1 TH thu,chi PABT+GPMB nhanh '!$G10,'9. Thu, chi PABT'!$B$11:$B$20001,'9.1 TH thu,chi PABT+GPMB nhanh '!$B10,'9. Thu, chi PABT'!$F$11:$F$20001,"&lt;&gt;"&amp;"Tạm ứng",'9. Thu, chi PABT'!$F$11:$F$20001,'9.1 TH thu,chi PABT+GPMB nhanh '!$C10,'9. Thu, chi PABT'!$H$11:$H$20001,"&lt;&gt;"&amp;"Tạm ứng")</f>
        <v>0</v>
      </c>
      <c r="J10" s="137">
        <f>H10-I10</f>
        <v>200000000</v>
      </c>
      <c r="K10" s="138">
        <f>SUMIFS('9. Thu, chi PABT'!$T$11:$T$20001,'9. Thu, chi PABT'!$J$11:$J$20001,'9.1 TH thu,chi PABT+GPMB nhanh '!$D10,'9. Thu, chi PABT'!$K$11:$K$20001,'9.1 TH thu,chi PABT+GPMB nhanh '!$E10,'9. Thu, chi PABT'!$L$11:$L$20001,'9.1 TH thu,chi PABT+GPMB nhanh '!$F10,'9. Thu, chi PABT'!$M$11:$M$20001,'9.1 TH thu,chi PABT+GPMB nhanh '!$G10,'9. Thu, chi PABT'!$B$11:$B$20001,'9.1 TH thu,chi PABT+GPMB nhanh '!$B10,'9. Thu, chi PABT'!$F$11:$F$20001,"&lt;&gt;"&amp;"Tạm ứng",'9. Thu, chi PABT'!$F$11:$F$20001,'9.1 TH thu,chi PABT+GPMB nhanh '!$C10,'9. Thu, chi PABT'!$H$11:$H$20001,"&lt;&gt;"&amp;"Tạm ứng")</f>
        <v>0</v>
      </c>
      <c r="L10" s="138">
        <f>SUMIFS('9. Thu, chi PABT'!$U$11:$U$20001,'9. Thu, chi PABT'!$J$11:$J$20001,'9.1 TH thu,chi PABT+GPMB nhanh '!$D10,'9. Thu, chi PABT'!$K$11:$K$20001,'9.1 TH thu,chi PABT+GPMB nhanh '!$E10,'9. Thu, chi PABT'!$L$11:$L$20001,'9.1 TH thu,chi PABT+GPMB nhanh '!$F10,'9. Thu, chi PABT'!$M$11:$M$20001,'9.1 TH thu,chi PABT+GPMB nhanh '!$G10,'9. Thu, chi PABT'!$B$11:$B$20001,'9.1 TH thu,chi PABT+GPMB nhanh '!$B10,'9. Thu, chi PABT'!$F$11:$F$20001,"&lt;&gt;"&amp;"Tạm ứng",'9. Thu, chi PABT'!$F$11:$F$20001,'9.1 TH thu,chi PABT+GPMB nhanh '!$C10,'9. Thu, chi PABT'!$H$11:$H$20001,"&lt;&gt;"&amp;"Tạm ứng")</f>
        <v>0</v>
      </c>
      <c r="M10" s="137">
        <f>K10-L10</f>
        <v>0</v>
      </c>
    </row>
    <row r="11" spans="1:13" x14ac:dyDescent="0.25">
      <c r="A11" s="145">
        <v>2</v>
      </c>
      <c r="B11" s="146">
        <v>120</v>
      </c>
      <c r="C11" s="146">
        <v>220</v>
      </c>
      <c r="D11" s="146" t="str">
        <v>Nguyễn Đức Anh</v>
      </c>
      <c r="E11" s="146" t="str">
        <v>Tiên Cát</v>
      </c>
      <c r="F11" s="146" t="str">
        <v>Minh Hà</v>
      </c>
      <c r="G11" s="146" t="str">
        <v>123A</v>
      </c>
      <c r="H11" s="136">
        <f>SUMIFS('9. Thu, chi PABT'!$T$11:$T$20001,'9. Thu, chi PABT'!$J$11:$J$20001,'9.1 TH thu,chi PABT+GPMB nhanh '!$D11,'9. Thu, chi PABT'!$K$11:$K$20001,'9.1 TH thu,chi PABT+GPMB nhanh '!$E11,'9. Thu, chi PABT'!$L$11:$L$20001,'9.1 TH thu,chi PABT+GPMB nhanh '!$F11,'9. Thu, chi PABT'!$M$11:$M$20001,'9.1 TH thu,chi PABT+GPMB nhanh '!$G11,'9. Thu, chi PABT'!$B$11:$B$20001,'9.1 TH thu,chi PABT+GPMB nhanh '!$B11,'9. Thu, chi PABT'!$D$11:$D$20001,"&lt;&gt;"&amp;"Tạm ứng",'9. Thu, chi PABT'!$F$11:$F$20001,IF('9.1 TH thu,chi PABT+GPMB nhanh '!$C11=0,"",'9.1 TH thu,chi PABT+GPMB nhanh '!$C11),'9. Thu, chi PABT'!$H$11:$H$20001,"&lt;&gt;"&amp;"Tạm ứng")-SUMIFS('9. Thu, chi PABT'!$T$11:$T$20001,'9. Thu, chi PABT'!$J$11:$J$20001,'9.1 TH thu,chi PABT+GPMB nhanh '!$D11,'9. Thu, chi PABT'!$K$11:$K$20001,'9.1 TH thu,chi PABT+GPMB nhanh '!$E11,'9. Thu, chi PABT'!$L$11:$L$20001,'9.1 TH thu,chi PABT+GPMB nhanh '!$F11,'9. Thu, chi PABT'!$M$11:$M$20001,'9.1 TH thu,chi PABT+GPMB nhanh '!$G11,'9. Thu, chi PABT'!$B$11:$B$20001,'9.1 TH thu,chi PABT+GPMB nhanh '!$B11,'9. Thu, chi PABT'!$F$11:$F$20001,"&lt;&gt;"&amp;"Tạm ứng",'9. Thu, chi PABT'!$F$11:$F$20001,'9.1 TH thu,chi PABT+GPMB nhanh '!$C11,'9. Thu, chi PABT'!$H$11:$H$20001,"&lt;&gt;"&amp;"Tạm ứng")</f>
        <v>0</v>
      </c>
      <c r="I11" s="136">
        <f>SUMIFS('9. Thu, chi PABT'!$U$11:$U$20001,'9. Thu, chi PABT'!$J$11:$J$20001,'9.1 TH thu,chi PABT+GPMB nhanh '!$D11,'9. Thu, chi PABT'!$K$11:$K$20001,'9.1 TH thu,chi PABT+GPMB nhanh '!$E11,'9. Thu, chi PABT'!$L$11:$L$20001,'9.1 TH thu,chi PABT+GPMB nhanh '!$F11,'9. Thu, chi PABT'!$M$11:$M$20001,'9.1 TH thu,chi PABT+GPMB nhanh '!$G11,'9. Thu, chi PABT'!$B$11:$B$20001,'9.1 TH thu,chi PABT+GPMB nhanh '!$B11,'9. Thu, chi PABT'!$D$11:$D$20001,"&lt;&gt;"&amp;"Tạm ứng",'9. Thu, chi PABT'!$F$11:$F$20001,IF('9.1 TH thu,chi PABT+GPMB nhanh '!$C11=0,"",'9.1 TH thu,chi PABT+GPMB nhanh '!$C11),'9. Thu, chi PABT'!$H$11:$H$20001,"&lt;&gt;"&amp;"Tạm ứng")-SUMIFS('9. Thu, chi PABT'!$U$11:$U$20001,'9. Thu, chi PABT'!$J$11:$J$20001,'9.1 TH thu,chi PABT+GPMB nhanh '!$D11,'9. Thu, chi PABT'!$K$11:$K$20001,'9.1 TH thu,chi PABT+GPMB nhanh '!$E11,'9. Thu, chi PABT'!$L$11:$L$20001,'9.1 TH thu,chi PABT+GPMB nhanh '!$F11,'9. Thu, chi PABT'!$M$11:$M$20001,'9.1 TH thu,chi PABT+GPMB nhanh '!$G11,'9. Thu, chi PABT'!$B$11:$B$20001,'9.1 TH thu,chi PABT+GPMB nhanh '!$B11,'9. Thu, chi PABT'!$F$11:$F$20001,"&lt;&gt;"&amp;"Tạm ứng",'9. Thu, chi PABT'!$F$11:$F$20001,'9.1 TH thu,chi PABT+GPMB nhanh '!$C11,'9. Thu, chi PABT'!$H$11:$H$20001,"&lt;&gt;"&amp;"Tạm ứng")</f>
        <v>0</v>
      </c>
      <c r="J11" s="137">
        <f t="shared" ref="J11:J22" si="1">H11-I11</f>
        <v>0</v>
      </c>
      <c r="K11" s="138">
        <f>SUMIFS('9. Thu, chi PABT'!$T$11:$T$20001,'9. Thu, chi PABT'!$J$11:$J$20001,'9.1 TH thu,chi PABT+GPMB nhanh '!$D11,'9. Thu, chi PABT'!$K$11:$K$20001,'9.1 TH thu,chi PABT+GPMB nhanh '!$E11,'9. Thu, chi PABT'!$L$11:$L$20001,'9.1 TH thu,chi PABT+GPMB nhanh '!$F11,'9. Thu, chi PABT'!$M$11:$M$20001,'9.1 TH thu,chi PABT+GPMB nhanh '!$G11,'9. Thu, chi PABT'!$B$11:$B$20001,'9.1 TH thu,chi PABT+GPMB nhanh '!$B11,'9. Thu, chi PABT'!$F$11:$F$20001,"&lt;&gt;"&amp;"Tạm ứng",'9. Thu, chi PABT'!$F$11:$F$20001,'9.1 TH thu,chi PABT+GPMB nhanh '!$C11,'9. Thu, chi PABT'!$H$11:$H$20001,"&lt;&gt;"&amp;"Tạm ứng")</f>
        <v>90000000</v>
      </c>
      <c r="L11" s="138">
        <f>SUMIFS('9. Thu, chi PABT'!$U$11:$U$20001,'9. Thu, chi PABT'!$J$11:$J$20001,'9.1 TH thu,chi PABT+GPMB nhanh '!$D11,'9. Thu, chi PABT'!$K$11:$K$20001,'9.1 TH thu,chi PABT+GPMB nhanh '!$E11,'9. Thu, chi PABT'!$L$11:$L$20001,'9.1 TH thu,chi PABT+GPMB nhanh '!$F11,'9. Thu, chi PABT'!$M$11:$M$20001,'9.1 TH thu,chi PABT+GPMB nhanh '!$G11,'9. Thu, chi PABT'!$B$11:$B$20001,'9.1 TH thu,chi PABT+GPMB nhanh '!$B11,'9. Thu, chi PABT'!$F$11:$F$20001,"&lt;&gt;"&amp;"Tạm ứng",'9. Thu, chi PABT'!$F$11:$F$20001,'9.1 TH thu,chi PABT+GPMB nhanh '!$C11,'9. Thu, chi PABT'!$H$11:$H$20001,"&lt;&gt;"&amp;"Tạm ứng")</f>
        <v>0</v>
      </c>
      <c r="M11" s="137">
        <f t="shared" ref="M11:M22" si="2">K11-L11</f>
        <v>90000000</v>
      </c>
    </row>
    <row r="12" spans="1:13" x14ac:dyDescent="0.25">
      <c r="A12" s="145">
        <v>3</v>
      </c>
      <c r="B12" s="146">
        <v>120</v>
      </c>
      <c r="C12" s="146">
        <v>0</v>
      </c>
      <c r="D12" s="146" t="str">
        <v>Nguyễn Đức Anh</v>
      </c>
      <c r="E12" s="146" t="str">
        <v>Tiên Cát</v>
      </c>
      <c r="F12" s="146" t="str">
        <v>Minh Hà</v>
      </c>
      <c r="G12" s="146" t="str">
        <v>123A</v>
      </c>
      <c r="H12" s="136">
        <f>SUMIFS('9. Thu, chi PABT'!$T$11:$T$20001,'9. Thu, chi PABT'!$J$11:$J$20001,'9.1 TH thu,chi PABT+GPMB nhanh '!$D12,'9. Thu, chi PABT'!$K$11:$K$20001,'9.1 TH thu,chi PABT+GPMB nhanh '!$E12,'9. Thu, chi PABT'!$L$11:$L$20001,'9.1 TH thu,chi PABT+GPMB nhanh '!$F12,'9. Thu, chi PABT'!$M$11:$M$20001,'9.1 TH thu,chi PABT+GPMB nhanh '!$G12,'9. Thu, chi PABT'!$B$11:$B$20001,'9.1 TH thu,chi PABT+GPMB nhanh '!$B12,'9. Thu, chi PABT'!$D$11:$D$20001,"&lt;&gt;"&amp;"Tạm ứng",'9. Thu, chi PABT'!$F$11:$F$20001,IF('9.1 TH thu,chi PABT+GPMB nhanh '!$C12=0,"",'9.1 TH thu,chi PABT+GPMB nhanh '!$C12),'9. Thu, chi PABT'!$H$11:$H$20001,"&lt;&gt;"&amp;"Tạm ứng")-SUMIFS('9. Thu, chi PABT'!$T$11:$T$20001,'9. Thu, chi PABT'!$J$11:$J$20001,'9.1 TH thu,chi PABT+GPMB nhanh '!$D12,'9. Thu, chi PABT'!$K$11:$K$20001,'9.1 TH thu,chi PABT+GPMB nhanh '!$E12,'9. Thu, chi PABT'!$L$11:$L$20001,'9.1 TH thu,chi PABT+GPMB nhanh '!$F12,'9. Thu, chi PABT'!$M$11:$M$20001,'9.1 TH thu,chi PABT+GPMB nhanh '!$G12,'9. Thu, chi PABT'!$B$11:$B$20001,'9.1 TH thu,chi PABT+GPMB nhanh '!$B12,'9. Thu, chi PABT'!$F$11:$F$20001,"&lt;&gt;"&amp;"Tạm ứng",'9. Thu, chi PABT'!$F$11:$F$20001,'9.1 TH thu,chi PABT+GPMB nhanh '!$C12,'9. Thu, chi PABT'!$H$11:$H$20001,"&lt;&gt;"&amp;"Tạm ứng")</f>
        <v>900000000</v>
      </c>
      <c r="I12" s="136">
        <f>SUMIFS('9. Thu, chi PABT'!$U$11:$U$20001,'9. Thu, chi PABT'!$J$11:$J$20001,'9.1 TH thu,chi PABT+GPMB nhanh '!$D12,'9. Thu, chi PABT'!$K$11:$K$20001,'9.1 TH thu,chi PABT+GPMB nhanh '!$E12,'9. Thu, chi PABT'!$L$11:$L$20001,'9.1 TH thu,chi PABT+GPMB nhanh '!$F12,'9. Thu, chi PABT'!$M$11:$M$20001,'9.1 TH thu,chi PABT+GPMB nhanh '!$G12,'9. Thu, chi PABT'!$B$11:$B$20001,'9.1 TH thu,chi PABT+GPMB nhanh '!$B12,'9. Thu, chi PABT'!$D$11:$D$20001,"&lt;&gt;"&amp;"Tạm ứng",'9. Thu, chi PABT'!$F$11:$F$20001,IF('9.1 TH thu,chi PABT+GPMB nhanh '!$C12=0,"",'9.1 TH thu,chi PABT+GPMB nhanh '!$C12),'9. Thu, chi PABT'!$H$11:$H$20001,"&lt;&gt;"&amp;"Tạm ứng")-SUMIFS('9. Thu, chi PABT'!$U$11:$U$20001,'9. Thu, chi PABT'!$J$11:$J$20001,'9.1 TH thu,chi PABT+GPMB nhanh '!$D12,'9. Thu, chi PABT'!$K$11:$K$20001,'9.1 TH thu,chi PABT+GPMB nhanh '!$E12,'9. Thu, chi PABT'!$L$11:$L$20001,'9.1 TH thu,chi PABT+GPMB nhanh '!$F12,'9. Thu, chi PABT'!$M$11:$M$20001,'9.1 TH thu,chi PABT+GPMB nhanh '!$G12,'9. Thu, chi PABT'!$B$11:$B$20001,'9.1 TH thu,chi PABT+GPMB nhanh '!$B12,'9. Thu, chi PABT'!$F$11:$F$20001,"&lt;&gt;"&amp;"Tạm ứng",'9. Thu, chi PABT'!$F$11:$F$20001,'9.1 TH thu,chi PABT+GPMB nhanh '!$C12,'9. Thu, chi PABT'!$H$11:$H$20001,"&lt;&gt;"&amp;"Tạm ứng")</f>
        <v>0</v>
      </c>
      <c r="J12" s="137">
        <f t="shared" si="1"/>
        <v>900000000</v>
      </c>
      <c r="K12" s="138">
        <f>SUMIFS('9. Thu, chi PABT'!$T$11:$T$20001,'9. Thu, chi PABT'!$J$11:$J$20001,'9.1 TH thu,chi PABT+GPMB nhanh '!$D12,'9. Thu, chi PABT'!$K$11:$K$20001,'9.1 TH thu,chi PABT+GPMB nhanh '!$E12,'9. Thu, chi PABT'!$L$11:$L$20001,'9.1 TH thu,chi PABT+GPMB nhanh '!$F12,'9. Thu, chi PABT'!$M$11:$M$20001,'9.1 TH thu,chi PABT+GPMB nhanh '!$G12,'9. Thu, chi PABT'!$B$11:$B$20001,'9.1 TH thu,chi PABT+GPMB nhanh '!$B12,'9. Thu, chi PABT'!$F$11:$F$20001,"&lt;&gt;"&amp;"Tạm ứng",'9. Thu, chi PABT'!$F$11:$F$20001,'9.1 TH thu,chi PABT+GPMB nhanh '!$C12,'9. Thu, chi PABT'!$H$11:$H$20001,"&lt;&gt;"&amp;"Tạm ứng")</f>
        <v>0</v>
      </c>
      <c r="L12" s="138">
        <f>SUMIFS('9. Thu, chi PABT'!$U$11:$U$20001,'9. Thu, chi PABT'!$J$11:$J$20001,'9.1 TH thu,chi PABT+GPMB nhanh '!$D12,'9. Thu, chi PABT'!$K$11:$K$20001,'9.1 TH thu,chi PABT+GPMB nhanh '!$E12,'9. Thu, chi PABT'!$L$11:$L$20001,'9.1 TH thu,chi PABT+GPMB nhanh '!$F12,'9. Thu, chi PABT'!$M$11:$M$20001,'9.1 TH thu,chi PABT+GPMB nhanh '!$G12,'9. Thu, chi PABT'!$B$11:$B$20001,'9.1 TH thu,chi PABT+GPMB nhanh '!$B12,'9. Thu, chi PABT'!$F$11:$F$20001,"&lt;&gt;"&amp;"Tạm ứng",'9. Thu, chi PABT'!$F$11:$F$20001,'9.1 TH thu,chi PABT+GPMB nhanh '!$C12,'9. Thu, chi PABT'!$H$11:$H$20001,"&lt;&gt;"&amp;"Tạm ứng")</f>
        <v>0</v>
      </c>
      <c r="M12" s="137">
        <f t="shared" si="2"/>
        <v>0</v>
      </c>
    </row>
    <row r="13" spans="1:13" x14ac:dyDescent="0.25">
      <c r="A13" s="145">
        <v>4</v>
      </c>
      <c r="B13" s="146">
        <v>130</v>
      </c>
      <c r="C13" s="146">
        <v>230</v>
      </c>
      <c r="D13" s="146" t="str">
        <v>Nguyễn Đức Anh</v>
      </c>
      <c r="E13" s="146" t="str">
        <v>Tiên Cát</v>
      </c>
      <c r="F13" s="146" t="str">
        <v>Minh Hà</v>
      </c>
      <c r="G13" s="146" t="str">
        <v>123A</v>
      </c>
      <c r="H13" s="136">
        <f>SUMIFS('9. Thu, chi PABT'!$T$11:$T$20001,'9. Thu, chi PABT'!$J$11:$J$20001,'9.1 TH thu,chi PABT+GPMB nhanh '!$D13,'9. Thu, chi PABT'!$K$11:$K$20001,'9.1 TH thu,chi PABT+GPMB nhanh '!$E13,'9. Thu, chi PABT'!$L$11:$L$20001,'9.1 TH thu,chi PABT+GPMB nhanh '!$F13,'9. Thu, chi PABT'!$M$11:$M$20001,'9.1 TH thu,chi PABT+GPMB nhanh '!$G13,'9. Thu, chi PABT'!$B$11:$B$20001,'9.1 TH thu,chi PABT+GPMB nhanh '!$B13,'9. Thu, chi PABT'!$D$11:$D$20001,"&lt;&gt;"&amp;"Tạm ứng",'9. Thu, chi PABT'!$F$11:$F$20001,IF('9.1 TH thu,chi PABT+GPMB nhanh '!$C13=0,"",'9.1 TH thu,chi PABT+GPMB nhanh '!$C13),'9. Thu, chi PABT'!$H$11:$H$20001,"&lt;&gt;"&amp;"Tạm ứng")-SUMIFS('9. Thu, chi PABT'!$T$11:$T$20001,'9. Thu, chi PABT'!$J$11:$J$20001,'9.1 TH thu,chi PABT+GPMB nhanh '!$D13,'9. Thu, chi PABT'!$K$11:$K$20001,'9.1 TH thu,chi PABT+GPMB nhanh '!$E13,'9. Thu, chi PABT'!$L$11:$L$20001,'9.1 TH thu,chi PABT+GPMB nhanh '!$F13,'9. Thu, chi PABT'!$M$11:$M$20001,'9.1 TH thu,chi PABT+GPMB nhanh '!$G13,'9. Thu, chi PABT'!$B$11:$B$20001,'9.1 TH thu,chi PABT+GPMB nhanh '!$B13,'9. Thu, chi PABT'!$F$11:$F$20001,"&lt;&gt;"&amp;"Tạm ứng",'9. Thu, chi PABT'!$F$11:$F$20001,'9.1 TH thu,chi PABT+GPMB nhanh '!$C13,'9. Thu, chi PABT'!$H$11:$H$20001,"&lt;&gt;"&amp;"Tạm ứng")</f>
        <v>0</v>
      </c>
      <c r="I13" s="136">
        <f>SUMIFS('9. Thu, chi PABT'!$U$11:$U$20001,'9. Thu, chi PABT'!$J$11:$J$20001,'9.1 TH thu,chi PABT+GPMB nhanh '!$D13,'9. Thu, chi PABT'!$K$11:$K$20001,'9.1 TH thu,chi PABT+GPMB nhanh '!$E13,'9. Thu, chi PABT'!$L$11:$L$20001,'9.1 TH thu,chi PABT+GPMB nhanh '!$F13,'9. Thu, chi PABT'!$M$11:$M$20001,'9.1 TH thu,chi PABT+GPMB nhanh '!$G13,'9. Thu, chi PABT'!$B$11:$B$20001,'9.1 TH thu,chi PABT+GPMB nhanh '!$B13,'9. Thu, chi PABT'!$D$11:$D$20001,"&lt;&gt;"&amp;"Tạm ứng",'9. Thu, chi PABT'!$F$11:$F$20001,IF('9.1 TH thu,chi PABT+GPMB nhanh '!$C13=0,"",'9.1 TH thu,chi PABT+GPMB nhanh '!$C13),'9. Thu, chi PABT'!$H$11:$H$20001,"&lt;&gt;"&amp;"Tạm ứng")-SUMIFS('9. Thu, chi PABT'!$U$11:$U$20001,'9. Thu, chi PABT'!$J$11:$J$20001,'9.1 TH thu,chi PABT+GPMB nhanh '!$D13,'9. Thu, chi PABT'!$K$11:$K$20001,'9.1 TH thu,chi PABT+GPMB nhanh '!$E13,'9. Thu, chi PABT'!$L$11:$L$20001,'9.1 TH thu,chi PABT+GPMB nhanh '!$F13,'9. Thu, chi PABT'!$M$11:$M$20001,'9.1 TH thu,chi PABT+GPMB nhanh '!$G13,'9. Thu, chi PABT'!$B$11:$B$20001,'9.1 TH thu,chi PABT+GPMB nhanh '!$B13,'9. Thu, chi PABT'!$F$11:$F$20001,"&lt;&gt;"&amp;"Tạm ứng",'9. Thu, chi PABT'!$F$11:$F$20001,'9.1 TH thu,chi PABT+GPMB nhanh '!$C13,'9. Thu, chi PABT'!$H$11:$H$20001,"&lt;&gt;"&amp;"Tạm ứng")</f>
        <v>0</v>
      </c>
      <c r="J13" s="137">
        <f t="shared" si="1"/>
        <v>0</v>
      </c>
      <c r="K13" s="138">
        <f>SUMIFS('9. Thu, chi PABT'!$T$11:$T$20001,'9. Thu, chi PABT'!$J$11:$J$20001,'9.1 TH thu,chi PABT+GPMB nhanh '!$D13,'9. Thu, chi PABT'!$K$11:$K$20001,'9.1 TH thu,chi PABT+GPMB nhanh '!$E13,'9. Thu, chi PABT'!$L$11:$L$20001,'9.1 TH thu,chi PABT+GPMB nhanh '!$F13,'9. Thu, chi PABT'!$M$11:$M$20001,'9.1 TH thu,chi PABT+GPMB nhanh '!$G13,'9. Thu, chi PABT'!$B$11:$B$20001,'9.1 TH thu,chi PABT+GPMB nhanh '!$B13,'9. Thu, chi PABT'!$F$11:$F$20001,"&lt;&gt;"&amp;"Tạm ứng",'9. Thu, chi PABT'!$F$11:$F$20001,'9.1 TH thu,chi PABT+GPMB nhanh '!$C13,'9. Thu, chi PABT'!$H$11:$H$20001,"&lt;&gt;"&amp;"Tạm ứng")</f>
        <v>130000000</v>
      </c>
      <c r="L13" s="138">
        <f>SUMIFS('9. Thu, chi PABT'!$U$11:$U$20001,'9. Thu, chi PABT'!$J$11:$J$20001,'9.1 TH thu,chi PABT+GPMB nhanh '!$D13,'9. Thu, chi PABT'!$K$11:$K$20001,'9.1 TH thu,chi PABT+GPMB nhanh '!$E13,'9. Thu, chi PABT'!$L$11:$L$20001,'9.1 TH thu,chi PABT+GPMB nhanh '!$F13,'9. Thu, chi PABT'!$M$11:$M$20001,'9.1 TH thu,chi PABT+GPMB nhanh '!$G13,'9. Thu, chi PABT'!$B$11:$B$20001,'9.1 TH thu,chi PABT+GPMB nhanh '!$B13,'9. Thu, chi PABT'!$F$11:$F$20001,"&lt;&gt;"&amp;"Tạm ứng",'9. Thu, chi PABT'!$F$11:$F$20001,'9.1 TH thu,chi PABT+GPMB nhanh '!$C13,'9. Thu, chi PABT'!$H$11:$H$20001,"&lt;&gt;"&amp;"Tạm ứng")</f>
        <v>0</v>
      </c>
      <c r="M13" s="137">
        <f t="shared" si="2"/>
        <v>130000000</v>
      </c>
    </row>
    <row r="14" spans="1:13" x14ac:dyDescent="0.25">
      <c r="A14" s="145">
        <v>5</v>
      </c>
      <c r="B14" s="146">
        <v>130</v>
      </c>
      <c r="C14" s="146">
        <v>0</v>
      </c>
      <c r="D14" s="146" t="str">
        <v>Nguyễn Đức Anh</v>
      </c>
      <c r="E14" s="146" t="str">
        <v>Tiên Cát</v>
      </c>
      <c r="F14" s="146" t="str">
        <v>Minh Hà</v>
      </c>
      <c r="G14" s="146" t="str">
        <v>123A</v>
      </c>
      <c r="H14" s="136">
        <f>SUMIFS('9. Thu, chi PABT'!$T$11:$T$20001,'9. Thu, chi PABT'!$J$11:$J$20001,'9.1 TH thu,chi PABT+GPMB nhanh '!$D14,'9. Thu, chi PABT'!$K$11:$K$20001,'9.1 TH thu,chi PABT+GPMB nhanh '!$E14,'9. Thu, chi PABT'!$L$11:$L$20001,'9.1 TH thu,chi PABT+GPMB nhanh '!$F14,'9. Thu, chi PABT'!$M$11:$M$20001,'9.1 TH thu,chi PABT+GPMB nhanh '!$G14,'9. Thu, chi PABT'!$B$11:$B$20001,'9.1 TH thu,chi PABT+GPMB nhanh '!$B14,'9. Thu, chi PABT'!$D$11:$D$20001,"&lt;&gt;"&amp;"Tạm ứng",'9. Thu, chi PABT'!$F$11:$F$20001,IF('9.1 TH thu,chi PABT+GPMB nhanh '!$C14=0,"",'9.1 TH thu,chi PABT+GPMB nhanh '!$C14),'9. Thu, chi PABT'!$H$11:$H$20001,"&lt;&gt;"&amp;"Tạm ứng")-SUMIFS('9. Thu, chi PABT'!$T$11:$T$20001,'9. Thu, chi PABT'!$J$11:$J$20001,'9.1 TH thu,chi PABT+GPMB nhanh '!$D14,'9. Thu, chi PABT'!$K$11:$K$20001,'9.1 TH thu,chi PABT+GPMB nhanh '!$E14,'9. Thu, chi PABT'!$L$11:$L$20001,'9.1 TH thu,chi PABT+GPMB nhanh '!$F14,'9. Thu, chi PABT'!$M$11:$M$20001,'9.1 TH thu,chi PABT+GPMB nhanh '!$G14,'9. Thu, chi PABT'!$B$11:$B$20001,'9.1 TH thu,chi PABT+GPMB nhanh '!$B14,'9. Thu, chi PABT'!$F$11:$F$20001,"&lt;&gt;"&amp;"Tạm ứng",'9. Thu, chi PABT'!$F$11:$F$20001,'9.1 TH thu,chi PABT+GPMB nhanh '!$C14,'9. Thu, chi PABT'!$H$11:$H$20001,"&lt;&gt;"&amp;"Tạm ứng")</f>
        <v>2100000000</v>
      </c>
      <c r="I14" s="136">
        <f>SUMIFS('9. Thu, chi PABT'!$U$11:$U$20001,'9. Thu, chi PABT'!$J$11:$J$20001,'9.1 TH thu,chi PABT+GPMB nhanh '!$D14,'9. Thu, chi PABT'!$K$11:$K$20001,'9.1 TH thu,chi PABT+GPMB nhanh '!$E14,'9. Thu, chi PABT'!$L$11:$L$20001,'9.1 TH thu,chi PABT+GPMB nhanh '!$F14,'9. Thu, chi PABT'!$M$11:$M$20001,'9.1 TH thu,chi PABT+GPMB nhanh '!$G14,'9. Thu, chi PABT'!$B$11:$B$20001,'9.1 TH thu,chi PABT+GPMB nhanh '!$B14,'9. Thu, chi PABT'!$D$11:$D$20001,"&lt;&gt;"&amp;"Tạm ứng",'9. Thu, chi PABT'!$F$11:$F$20001,IF('9.1 TH thu,chi PABT+GPMB nhanh '!$C14=0,"",'9.1 TH thu,chi PABT+GPMB nhanh '!$C14),'9. Thu, chi PABT'!$H$11:$H$20001,"&lt;&gt;"&amp;"Tạm ứng")-SUMIFS('9. Thu, chi PABT'!$U$11:$U$20001,'9. Thu, chi PABT'!$J$11:$J$20001,'9.1 TH thu,chi PABT+GPMB nhanh '!$D14,'9. Thu, chi PABT'!$K$11:$K$20001,'9.1 TH thu,chi PABT+GPMB nhanh '!$E14,'9. Thu, chi PABT'!$L$11:$L$20001,'9.1 TH thu,chi PABT+GPMB nhanh '!$F14,'9. Thu, chi PABT'!$M$11:$M$20001,'9.1 TH thu,chi PABT+GPMB nhanh '!$G14,'9. Thu, chi PABT'!$B$11:$B$20001,'9.1 TH thu,chi PABT+GPMB nhanh '!$B14,'9. Thu, chi PABT'!$F$11:$F$20001,"&lt;&gt;"&amp;"Tạm ứng",'9. Thu, chi PABT'!$F$11:$F$20001,'9.1 TH thu,chi PABT+GPMB nhanh '!$C14,'9. Thu, chi PABT'!$H$11:$H$20001,"&lt;&gt;"&amp;"Tạm ứng")</f>
        <v>0</v>
      </c>
      <c r="J14" s="137">
        <f t="shared" si="1"/>
        <v>2100000000</v>
      </c>
      <c r="K14" s="138">
        <f>SUMIFS('9. Thu, chi PABT'!$T$11:$T$20001,'9. Thu, chi PABT'!$J$11:$J$20001,'9.1 TH thu,chi PABT+GPMB nhanh '!$D14,'9. Thu, chi PABT'!$K$11:$K$20001,'9.1 TH thu,chi PABT+GPMB nhanh '!$E14,'9. Thu, chi PABT'!$L$11:$L$20001,'9.1 TH thu,chi PABT+GPMB nhanh '!$F14,'9. Thu, chi PABT'!$M$11:$M$20001,'9.1 TH thu,chi PABT+GPMB nhanh '!$G14,'9. Thu, chi PABT'!$B$11:$B$20001,'9.1 TH thu,chi PABT+GPMB nhanh '!$B14,'9. Thu, chi PABT'!$F$11:$F$20001,"&lt;&gt;"&amp;"Tạm ứng",'9. Thu, chi PABT'!$F$11:$F$20001,'9.1 TH thu,chi PABT+GPMB nhanh '!$C14,'9. Thu, chi PABT'!$H$11:$H$20001,"&lt;&gt;"&amp;"Tạm ứng")</f>
        <v>0</v>
      </c>
      <c r="L14" s="138">
        <f>SUMIFS('9. Thu, chi PABT'!$U$11:$U$20001,'9. Thu, chi PABT'!$J$11:$J$20001,'9.1 TH thu,chi PABT+GPMB nhanh '!$D14,'9. Thu, chi PABT'!$K$11:$K$20001,'9.1 TH thu,chi PABT+GPMB nhanh '!$E14,'9. Thu, chi PABT'!$L$11:$L$20001,'9.1 TH thu,chi PABT+GPMB nhanh '!$F14,'9. Thu, chi PABT'!$M$11:$M$20001,'9.1 TH thu,chi PABT+GPMB nhanh '!$G14,'9. Thu, chi PABT'!$B$11:$B$20001,'9.1 TH thu,chi PABT+GPMB nhanh '!$B14,'9. Thu, chi PABT'!$F$11:$F$20001,"&lt;&gt;"&amp;"Tạm ứng",'9. Thu, chi PABT'!$F$11:$F$20001,'9.1 TH thu,chi PABT+GPMB nhanh '!$C14,'9. Thu, chi PABT'!$H$11:$H$20001,"&lt;&gt;"&amp;"Tạm ứng")</f>
        <v>0</v>
      </c>
      <c r="M14" s="137">
        <f t="shared" si="2"/>
        <v>0</v>
      </c>
    </row>
    <row r="15" spans="1:13" x14ac:dyDescent="0.25">
      <c r="A15" s="145">
        <v>6</v>
      </c>
      <c r="B15" s="146">
        <v>140</v>
      </c>
      <c r="C15" s="146">
        <v>240</v>
      </c>
      <c r="D15" s="146" t="str">
        <v>Nguyễn Đức Anh</v>
      </c>
      <c r="E15" s="146" t="str">
        <v>Tiên Cát</v>
      </c>
      <c r="F15" s="146" t="str">
        <v>Minh Hà</v>
      </c>
      <c r="G15" s="146" t="str">
        <v>123A</v>
      </c>
      <c r="H15" s="136">
        <f>SUMIFS('9. Thu, chi PABT'!$T$11:$T$20001,'9. Thu, chi PABT'!$J$11:$J$20001,'9.1 TH thu,chi PABT+GPMB nhanh '!$D15,'9. Thu, chi PABT'!$K$11:$K$20001,'9.1 TH thu,chi PABT+GPMB nhanh '!$E15,'9. Thu, chi PABT'!$L$11:$L$20001,'9.1 TH thu,chi PABT+GPMB nhanh '!$F15,'9. Thu, chi PABT'!$M$11:$M$20001,'9.1 TH thu,chi PABT+GPMB nhanh '!$G15,'9. Thu, chi PABT'!$B$11:$B$20001,'9.1 TH thu,chi PABT+GPMB nhanh '!$B15,'9. Thu, chi PABT'!$D$11:$D$20001,"&lt;&gt;"&amp;"Tạm ứng",'9. Thu, chi PABT'!$F$11:$F$20001,IF('9.1 TH thu,chi PABT+GPMB nhanh '!$C15=0,"",'9.1 TH thu,chi PABT+GPMB nhanh '!$C15),'9. Thu, chi PABT'!$H$11:$H$20001,"&lt;&gt;"&amp;"Tạm ứng")-SUMIFS('9. Thu, chi PABT'!$T$11:$T$20001,'9. Thu, chi PABT'!$J$11:$J$20001,'9.1 TH thu,chi PABT+GPMB nhanh '!$D15,'9. Thu, chi PABT'!$K$11:$K$20001,'9.1 TH thu,chi PABT+GPMB nhanh '!$E15,'9. Thu, chi PABT'!$L$11:$L$20001,'9.1 TH thu,chi PABT+GPMB nhanh '!$F15,'9. Thu, chi PABT'!$M$11:$M$20001,'9.1 TH thu,chi PABT+GPMB nhanh '!$G15,'9. Thu, chi PABT'!$B$11:$B$20001,'9.1 TH thu,chi PABT+GPMB nhanh '!$B15,'9. Thu, chi PABT'!$F$11:$F$20001,"&lt;&gt;"&amp;"Tạm ứng",'9. Thu, chi PABT'!$F$11:$F$20001,'9.1 TH thu,chi PABT+GPMB nhanh '!$C15,'9. Thu, chi PABT'!$H$11:$H$20001,"&lt;&gt;"&amp;"Tạm ứng")</f>
        <v>0</v>
      </c>
      <c r="I15" s="136">
        <f>SUMIFS('9. Thu, chi PABT'!$U$11:$U$20001,'9. Thu, chi PABT'!$J$11:$J$20001,'9.1 TH thu,chi PABT+GPMB nhanh '!$D15,'9. Thu, chi PABT'!$K$11:$K$20001,'9.1 TH thu,chi PABT+GPMB nhanh '!$E15,'9. Thu, chi PABT'!$L$11:$L$20001,'9.1 TH thu,chi PABT+GPMB nhanh '!$F15,'9. Thu, chi PABT'!$M$11:$M$20001,'9.1 TH thu,chi PABT+GPMB nhanh '!$G15,'9. Thu, chi PABT'!$B$11:$B$20001,'9.1 TH thu,chi PABT+GPMB nhanh '!$B15,'9. Thu, chi PABT'!$D$11:$D$20001,"&lt;&gt;"&amp;"Tạm ứng",'9. Thu, chi PABT'!$F$11:$F$20001,IF('9.1 TH thu,chi PABT+GPMB nhanh '!$C15=0,"",'9.1 TH thu,chi PABT+GPMB nhanh '!$C15),'9. Thu, chi PABT'!$H$11:$H$20001,"&lt;&gt;"&amp;"Tạm ứng")-SUMIFS('9. Thu, chi PABT'!$U$11:$U$20001,'9. Thu, chi PABT'!$J$11:$J$20001,'9.1 TH thu,chi PABT+GPMB nhanh '!$D15,'9. Thu, chi PABT'!$K$11:$K$20001,'9.1 TH thu,chi PABT+GPMB nhanh '!$E15,'9. Thu, chi PABT'!$L$11:$L$20001,'9.1 TH thu,chi PABT+GPMB nhanh '!$F15,'9. Thu, chi PABT'!$M$11:$M$20001,'9.1 TH thu,chi PABT+GPMB nhanh '!$G15,'9. Thu, chi PABT'!$B$11:$B$20001,'9.1 TH thu,chi PABT+GPMB nhanh '!$B15,'9. Thu, chi PABT'!$F$11:$F$20001,"&lt;&gt;"&amp;"Tạm ứng",'9. Thu, chi PABT'!$F$11:$F$20001,'9.1 TH thu,chi PABT+GPMB nhanh '!$C15,'9. Thu, chi PABT'!$H$11:$H$20001,"&lt;&gt;"&amp;"Tạm ứng")</f>
        <v>0</v>
      </c>
      <c r="J15" s="137">
        <f t="shared" si="1"/>
        <v>0</v>
      </c>
      <c r="K15" s="138">
        <f>SUMIFS('9. Thu, chi PABT'!$T$11:$T$20001,'9. Thu, chi PABT'!$J$11:$J$20001,'9.1 TH thu,chi PABT+GPMB nhanh '!$D15,'9. Thu, chi PABT'!$K$11:$K$20001,'9.1 TH thu,chi PABT+GPMB nhanh '!$E15,'9. Thu, chi PABT'!$L$11:$L$20001,'9.1 TH thu,chi PABT+GPMB nhanh '!$F15,'9. Thu, chi PABT'!$M$11:$M$20001,'9.1 TH thu,chi PABT+GPMB nhanh '!$G15,'9. Thu, chi PABT'!$B$11:$B$20001,'9.1 TH thu,chi PABT+GPMB nhanh '!$B15,'9. Thu, chi PABT'!$F$11:$F$20001,"&lt;&gt;"&amp;"Tạm ứng",'9. Thu, chi PABT'!$F$11:$F$20001,'9.1 TH thu,chi PABT+GPMB nhanh '!$C15,'9. Thu, chi PABT'!$H$11:$H$20001,"&lt;&gt;"&amp;"Tạm ứng")</f>
        <v>100000000</v>
      </c>
      <c r="L15" s="138">
        <f>SUMIFS('9. Thu, chi PABT'!$U$11:$U$20001,'9. Thu, chi PABT'!$J$11:$J$20001,'9.1 TH thu,chi PABT+GPMB nhanh '!$D15,'9. Thu, chi PABT'!$K$11:$K$20001,'9.1 TH thu,chi PABT+GPMB nhanh '!$E15,'9. Thu, chi PABT'!$L$11:$L$20001,'9.1 TH thu,chi PABT+GPMB nhanh '!$F15,'9. Thu, chi PABT'!$M$11:$M$20001,'9.1 TH thu,chi PABT+GPMB nhanh '!$G15,'9. Thu, chi PABT'!$B$11:$B$20001,'9.1 TH thu,chi PABT+GPMB nhanh '!$B15,'9. Thu, chi PABT'!$F$11:$F$20001,"&lt;&gt;"&amp;"Tạm ứng",'9. Thu, chi PABT'!$F$11:$F$20001,'9.1 TH thu,chi PABT+GPMB nhanh '!$C15,'9. Thu, chi PABT'!$H$11:$H$20001,"&lt;&gt;"&amp;"Tạm ứng")</f>
        <v>10000000</v>
      </c>
      <c r="M15" s="137">
        <f t="shared" si="2"/>
        <v>90000000</v>
      </c>
    </row>
    <row r="16" spans="1:13" x14ac:dyDescent="0.25">
      <c r="A16" s="145">
        <v>7</v>
      </c>
      <c r="B16" s="146">
        <v>140</v>
      </c>
      <c r="C16" s="146">
        <v>0</v>
      </c>
      <c r="D16" s="146" t="str">
        <v>Nguyễn Đức Anh</v>
      </c>
      <c r="E16" s="146" t="str">
        <v>Tiên Cát</v>
      </c>
      <c r="F16" s="146" t="str">
        <v>Minh Hà</v>
      </c>
      <c r="G16" s="146" t="str">
        <v>123A</v>
      </c>
      <c r="H16" s="136">
        <f>SUMIFS('9. Thu, chi PABT'!$T$11:$T$20001,'9. Thu, chi PABT'!$J$11:$J$20001,'9.1 TH thu,chi PABT+GPMB nhanh '!$D16,'9. Thu, chi PABT'!$K$11:$K$20001,'9.1 TH thu,chi PABT+GPMB nhanh '!$E16,'9. Thu, chi PABT'!$L$11:$L$20001,'9.1 TH thu,chi PABT+GPMB nhanh '!$F16,'9. Thu, chi PABT'!$M$11:$M$20001,'9.1 TH thu,chi PABT+GPMB nhanh '!$G16,'9. Thu, chi PABT'!$B$11:$B$20001,'9.1 TH thu,chi PABT+GPMB nhanh '!$B16,'9. Thu, chi PABT'!$D$11:$D$20001,"&lt;&gt;"&amp;"Tạm ứng",'9. Thu, chi PABT'!$F$11:$F$20001,IF('9.1 TH thu,chi PABT+GPMB nhanh '!$C16=0,"",'9.1 TH thu,chi PABT+GPMB nhanh '!$C16),'9. Thu, chi PABT'!$H$11:$H$20001,"&lt;&gt;"&amp;"Tạm ứng")-SUMIFS('9. Thu, chi PABT'!$T$11:$T$20001,'9. Thu, chi PABT'!$J$11:$J$20001,'9.1 TH thu,chi PABT+GPMB nhanh '!$D16,'9. Thu, chi PABT'!$K$11:$K$20001,'9.1 TH thu,chi PABT+GPMB nhanh '!$E16,'9. Thu, chi PABT'!$L$11:$L$20001,'9.1 TH thu,chi PABT+GPMB nhanh '!$F16,'9. Thu, chi PABT'!$M$11:$M$20001,'9.1 TH thu,chi PABT+GPMB nhanh '!$G16,'9. Thu, chi PABT'!$B$11:$B$20001,'9.1 TH thu,chi PABT+GPMB nhanh '!$B16,'9. Thu, chi PABT'!$F$11:$F$20001,"&lt;&gt;"&amp;"Tạm ứng",'9. Thu, chi PABT'!$F$11:$F$20001,'9.1 TH thu,chi PABT+GPMB nhanh '!$C16,'9. Thu, chi PABT'!$H$11:$H$20001,"&lt;&gt;"&amp;"Tạm ứng")</f>
        <v>1000000000</v>
      </c>
      <c r="I16" s="136">
        <f>SUMIFS('9. Thu, chi PABT'!$U$11:$U$20001,'9. Thu, chi PABT'!$J$11:$J$20001,'9.1 TH thu,chi PABT+GPMB nhanh '!$D16,'9. Thu, chi PABT'!$K$11:$K$20001,'9.1 TH thu,chi PABT+GPMB nhanh '!$E16,'9. Thu, chi PABT'!$L$11:$L$20001,'9.1 TH thu,chi PABT+GPMB nhanh '!$F16,'9. Thu, chi PABT'!$M$11:$M$20001,'9.1 TH thu,chi PABT+GPMB nhanh '!$G16,'9. Thu, chi PABT'!$B$11:$B$20001,'9.1 TH thu,chi PABT+GPMB nhanh '!$B16,'9. Thu, chi PABT'!$D$11:$D$20001,"&lt;&gt;"&amp;"Tạm ứng",'9. Thu, chi PABT'!$F$11:$F$20001,IF('9.1 TH thu,chi PABT+GPMB nhanh '!$C16=0,"",'9.1 TH thu,chi PABT+GPMB nhanh '!$C16),'9. Thu, chi PABT'!$H$11:$H$20001,"&lt;&gt;"&amp;"Tạm ứng")-SUMIFS('9. Thu, chi PABT'!$U$11:$U$20001,'9. Thu, chi PABT'!$J$11:$J$20001,'9.1 TH thu,chi PABT+GPMB nhanh '!$D16,'9. Thu, chi PABT'!$K$11:$K$20001,'9.1 TH thu,chi PABT+GPMB nhanh '!$E16,'9. Thu, chi PABT'!$L$11:$L$20001,'9.1 TH thu,chi PABT+GPMB nhanh '!$F16,'9. Thu, chi PABT'!$M$11:$M$20001,'9.1 TH thu,chi PABT+GPMB nhanh '!$G16,'9. Thu, chi PABT'!$B$11:$B$20001,'9.1 TH thu,chi PABT+GPMB nhanh '!$B16,'9. Thu, chi PABT'!$F$11:$F$20001,"&lt;&gt;"&amp;"Tạm ứng",'9. Thu, chi PABT'!$F$11:$F$20001,'9.1 TH thu,chi PABT+GPMB nhanh '!$C16,'9. Thu, chi PABT'!$H$11:$H$20001,"&lt;&gt;"&amp;"Tạm ứng")</f>
        <v>100000000</v>
      </c>
      <c r="J16" s="137">
        <f t="shared" si="1"/>
        <v>900000000</v>
      </c>
      <c r="K16" s="138">
        <f>SUMIFS('9. Thu, chi PABT'!$T$11:$T$20001,'9. Thu, chi PABT'!$J$11:$J$20001,'9.1 TH thu,chi PABT+GPMB nhanh '!$D16,'9. Thu, chi PABT'!$K$11:$K$20001,'9.1 TH thu,chi PABT+GPMB nhanh '!$E16,'9. Thu, chi PABT'!$L$11:$L$20001,'9.1 TH thu,chi PABT+GPMB nhanh '!$F16,'9. Thu, chi PABT'!$M$11:$M$20001,'9.1 TH thu,chi PABT+GPMB nhanh '!$G16,'9. Thu, chi PABT'!$B$11:$B$20001,'9.1 TH thu,chi PABT+GPMB nhanh '!$B16,'9. Thu, chi PABT'!$F$11:$F$20001,"&lt;&gt;"&amp;"Tạm ứng",'9. Thu, chi PABT'!$F$11:$F$20001,'9.1 TH thu,chi PABT+GPMB nhanh '!$C16,'9. Thu, chi PABT'!$H$11:$H$20001,"&lt;&gt;"&amp;"Tạm ứng")</f>
        <v>0</v>
      </c>
      <c r="L16" s="138">
        <f>SUMIFS('9. Thu, chi PABT'!$U$11:$U$20001,'9. Thu, chi PABT'!$J$11:$J$20001,'9.1 TH thu,chi PABT+GPMB nhanh '!$D16,'9. Thu, chi PABT'!$K$11:$K$20001,'9.1 TH thu,chi PABT+GPMB nhanh '!$E16,'9. Thu, chi PABT'!$L$11:$L$20001,'9.1 TH thu,chi PABT+GPMB nhanh '!$F16,'9. Thu, chi PABT'!$M$11:$M$20001,'9.1 TH thu,chi PABT+GPMB nhanh '!$G16,'9. Thu, chi PABT'!$B$11:$B$20001,'9.1 TH thu,chi PABT+GPMB nhanh '!$B16,'9. Thu, chi PABT'!$F$11:$F$20001,"&lt;&gt;"&amp;"Tạm ứng",'9. Thu, chi PABT'!$F$11:$F$20001,'9.1 TH thu,chi PABT+GPMB nhanh '!$C16,'9. Thu, chi PABT'!$H$11:$H$20001,"&lt;&gt;"&amp;"Tạm ứng")</f>
        <v>0</v>
      </c>
      <c r="M16" s="137">
        <f t="shared" si="2"/>
        <v>0</v>
      </c>
    </row>
    <row r="17" spans="1:13" x14ac:dyDescent="0.25">
      <c r="A17" s="145">
        <v>8</v>
      </c>
      <c r="B17" s="146">
        <v>0</v>
      </c>
      <c r="C17" s="146">
        <v>0</v>
      </c>
      <c r="D17" s="146">
        <v>0</v>
      </c>
      <c r="E17" s="146">
        <v>0</v>
      </c>
      <c r="F17" s="146">
        <v>0</v>
      </c>
      <c r="G17" s="146">
        <v>0</v>
      </c>
      <c r="H17" s="136">
        <f>SUMIFS('9. Thu, chi PABT'!$T$11:$T$20001,'9. Thu, chi PABT'!$J$11:$J$20001,'9.1 TH thu,chi PABT+GPMB nhanh '!$D17,'9. Thu, chi PABT'!$K$11:$K$20001,'9.1 TH thu,chi PABT+GPMB nhanh '!$E17,'9. Thu, chi PABT'!$L$11:$L$20001,'9.1 TH thu,chi PABT+GPMB nhanh '!$F17,'9. Thu, chi PABT'!$M$11:$M$20001,'9.1 TH thu,chi PABT+GPMB nhanh '!$G17,'9. Thu, chi PABT'!$B$11:$B$20001,'9.1 TH thu,chi PABT+GPMB nhanh '!$B17,'9. Thu, chi PABT'!$D$11:$D$20001,"&lt;&gt;"&amp;"Tạm ứng",'9. Thu, chi PABT'!$F$11:$F$20001,IF('9.1 TH thu,chi PABT+GPMB nhanh '!$C17=0,"",'9.1 TH thu,chi PABT+GPMB nhanh '!$C17),'9. Thu, chi PABT'!$H$11:$H$20001,"&lt;&gt;"&amp;"Tạm ứng")-SUMIFS('9. Thu, chi PABT'!$T$11:$T$20001,'9. Thu, chi PABT'!$J$11:$J$20001,'9.1 TH thu,chi PABT+GPMB nhanh '!$D17,'9. Thu, chi PABT'!$K$11:$K$20001,'9.1 TH thu,chi PABT+GPMB nhanh '!$E17,'9. Thu, chi PABT'!$L$11:$L$20001,'9.1 TH thu,chi PABT+GPMB nhanh '!$F17,'9. Thu, chi PABT'!$M$11:$M$20001,'9.1 TH thu,chi PABT+GPMB nhanh '!$G17,'9. Thu, chi PABT'!$B$11:$B$20001,'9.1 TH thu,chi PABT+GPMB nhanh '!$B17,'9. Thu, chi PABT'!$F$11:$F$20001,"&lt;&gt;"&amp;"Tạm ứng",'9. Thu, chi PABT'!$F$11:$F$20001,'9.1 TH thu,chi PABT+GPMB nhanh '!$C17,'9. Thu, chi PABT'!$H$11:$H$20001,"&lt;&gt;"&amp;"Tạm ứng")</f>
        <v>0</v>
      </c>
      <c r="I17" s="136">
        <f>SUMIFS('9. Thu, chi PABT'!$U$11:$U$20001,'9. Thu, chi PABT'!$J$11:$J$20001,'9.1 TH thu,chi PABT+GPMB nhanh '!$D17,'9. Thu, chi PABT'!$K$11:$K$20001,'9.1 TH thu,chi PABT+GPMB nhanh '!$E17,'9. Thu, chi PABT'!$L$11:$L$20001,'9.1 TH thu,chi PABT+GPMB nhanh '!$F17,'9. Thu, chi PABT'!$M$11:$M$20001,'9.1 TH thu,chi PABT+GPMB nhanh '!$G17,'9. Thu, chi PABT'!$B$11:$B$20001,'9.1 TH thu,chi PABT+GPMB nhanh '!$B17,'9. Thu, chi PABT'!$D$11:$D$20001,"&lt;&gt;"&amp;"Tạm ứng",'9. Thu, chi PABT'!$F$11:$F$20001,IF('9.1 TH thu,chi PABT+GPMB nhanh '!$C17=0,"",'9.1 TH thu,chi PABT+GPMB nhanh '!$C17),'9. Thu, chi PABT'!$H$11:$H$20001,"&lt;&gt;"&amp;"Tạm ứng")-SUMIFS('9. Thu, chi PABT'!$U$11:$U$20001,'9. Thu, chi PABT'!$J$11:$J$20001,'9.1 TH thu,chi PABT+GPMB nhanh '!$D17,'9. Thu, chi PABT'!$K$11:$K$20001,'9.1 TH thu,chi PABT+GPMB nhanh '!$E17,'9. Thu, chi PABT'!$L$11:$L$20001,'9.1 TH thu,chi PABT+GPMB nhanh '!$F17,'9. Thu, chi PABT'!$M$11:$M$20001,'9.1 TH thu,chi PABT+GPMB nhanh '!$G17,'9. Thu, chi PABT'!$B$11:$B$20001,'9.1 TH thu,chi PABT+GPMB nhanh '!$B17,'9. Thu, chi PABT'!$F$11:$F$20001,"&lt;&gt;"&amp;"Tạm ứng",'9. Thu, chi PABT'!$F$11:$F$20001,'9.1 TH thu,chi PABT+GPMB nhanh '!$C17,'9. Thu, chi PABT'!$H$11:$H$20001,"&lt;&gt;"&amp;"Tạm ứng")</f>
        <v>0</v>
      </c>
      <c r="J17" s="137">
        <f t="shared" si="1"/>
        <v>0</v>
      </c>
      <c r="K17" s="138">
        <f>SUMIFS('9. Thu, chi PABT'!$T$11:$T$20001,'9. Thu, chi PABT'!$J$11:$J$20001,'9.1 TH thu,chi PABT+GPMB nhanh '!$D17,'9. Thu, chi PABT'!$K$11:$K$20001,'9.1 TH thu,chi PABT+GPMB nhanh '!$E17,'9. Thu, chi PABT'!$L$11:$L$20001,'9.1 TH thu,chi PABT+GPMB nhanh '!$F17,'9. Thu, chi PABT'!$M$11:$M$20001,'9.1 TH thu,chi PABT+GPMB nhanh '!$G17,'9. Thu, chi PABT'!$B$11:$B$20001,'9.1 TH thu,chi PABT+GPMB nhanh '!$B17,'9. Thu, chi PABT'!$F$11:$F$20001,"&lt;&gt;"&amp;"Tạm ứng",'9. Thu, chi PABT'!$F$11:$F$20001,'9.1 TH thu,chi PABT+GPMB nhanh '!$C17,'9. Thu, chi PABT'!$H$11:$H$20001,"&lt;&gt;"&amp;"Tạm ứng")</f>
        <v>0</v>
      </c>
      <c r="L17" s="138">
        <f>SUMIFS('9. Thu, chi PABT'!$U$11:$U$20001,'9. Thu, chi PABT'!$J$11:$J$20001,'9.1 TH thu,chi PABT+GPMB nhanh '!$D17,'9. Thu, chi PABT'!$K$11:$K$20001,'9.1 TH thu,chi PABT+GPMB nhanh '!$E17,'9. Thu, chi PABT'!$L$11:$L$20001,'9.1 TH thu,chi PABT+GPMB nhanh '!$F17,'9. Thu, chi PABT'!$M$11:$M$20001,'9.1 TH thu,chi PABT+GPMB nhanh '!$G17,'9. Thu, chi PABT'!$B$11:$B$20001,'9.1 TH thu,chi PABT+GPMB nhanh '!$B17,'9. Thu, chi PABT'!$F$11:$F$20001,"&lt;&gt;"&amp;"Tạm ứng",'9. Thu, chi PABT'!$F$11:$F$20001,'9.1 TH thu,chi PABT+GPMB nhanh '!$C17,'9. Thu, chi PABT'!$H$11:$H$20001,"&lt;&gt;"&amp;"Tạm ứng")</f>
        <v>0</v>
      </c>
      <c r="M17" s="137">
        <f t="shared" si="2"/>
        <v>0</v>
      </c>
    </row>
    <row r="18" spans="1:13" x14ac:dyDescent="0.25">
      <c r="A18" s="145">
        <v>9</v>
      </c>
      <c r="B18" s="146"/>
      <c r="C18" s="146"/>
      <c r="D18" s="146"/>
      <c r="E18" s="146"/>
      <c r="F18" s="146"/>
      <c r="G18" s="146"/>
      <c r="H18" s="136">
        <f>SUMIFS('9. Thu, chi PABT'!$T$11:$T$20001,'9. Thu, chi PABT'!$J$11:$J$20001,'9.1 TH thu,chi PABT+GPMB nhanh '!$D18,'9. Thu, chi PABT'!$K$11:$K$20001,'9.1 TH thu,chi PABT+GPMB nhanh '!$E18,'9. Thu, chi PABT'!$L$11:$L$20001,'9.1 TH thu,chi PABT+GPMB nhanh '!$F18,'9. Thu, chi PABT'!$M$11:$M$20001,'9.1 TH thu,chi PABT+GPMB nhanh '!$G18,'9. Thu, chi PABT'!$B$11:$B$20001,'9.1 TH thu,chi PABT+GPMB nhanh '!$B18,'9. Thu, chi PABT'!$D$11:$D$20001,"&lt;&gt;"&amp;"Tạm ứng",'9. Thu, chi PABT'!$F$11:$F$20001,IF('9.1 TH thu,chi PABT+GPMB nhanh '!$C18=0,"",'9.1 TH thu,chi PABT+GPMB nhanh '!$C18),'9. Thu, chi PABT'!$H$11:$H$20001,"&lt;&gt;"&amp;"Tạm ứng")-SUMIFS('9. Thu, chi PABT'!$T$11:$T$20001,'9. Thu, chi PABT'!$J$11:$J$20001,'9.1 TH thu,chi PABT+GPMB nhanh '!$D18,'9. Thu, chi PABT'!$K$11:$K$20001,'9.1 TH thu,chi PABT+GPMB nhanh '!$E18,'9. Thu, chi PABT'!$L$11:$L$20001,'9.1 TH thu,chi PABT+GPMB nhanh '!$F18,'9. Thu, chi PABT'!$M$11:$M$20001,'9.1 TH thu,chi PABT+GPMB nhanh '!$G18,'9. Thu, chi PABT'!$B$11:$B$20001,'9.1 TH thu,chi PABT+GPMB nhanh '!$B18,'9. Thu, chi PABT'!$F$11:$F$20001,"&lt;&gt;"&amp;"Tạm ứng",'9. Thu, chi PABT'!$F$11:$F$20001,'9.1 TH thu,chi PABT+GPMB nhanh '!$C18,'9. Thu, chi PABT'!$H$11:$H$20001,"&lt;&gt;"&amp;"Tạm ứng")</f>
        <v>0</v>
      </c>
      <c r="I18" s="136">
        <f>SUMIFS('9. Thu, chi PABT'!$U$11:$U$20001,'9. Thu, chi PABT'!$J$11:$J$20001,'9.1 TH thu,chi PABT+GPMB nhanh '!$D18,'9. Thu, chi PABT'!$K$11:$K$20001,'9.1 TH thu,chi PABT+GPMB nhanh '!$E18,'9. Thu, chi PABT'!$L$11:$L$20001,'9.1 TH thu,chi PABT+GPMB nhanh '!$F18,'9. Thu, chi PABT'!$M$11:$M$20001,'9.1 TH thu,chi PABT+GPMB nhanh '!$G18,'9. Thu, chi PABT'!$B$11:$B$20001,'9.1 TH thu,chi PABT+GPMB nhanh '!$B18,'9. Thu, chi PABT'!$D$11:$D$20001,"&lt;&gt;"&amp;"Tạm ứng",'9. Thu, chi PABT'!$F$11:$F$20001,IF('9.1 TH thu,chi PABT+GPMB nhanh '!$C18=0,"",'9.1 TH thu,chi PABT+GPMB nhanh '!$C18),'9. Thu, chi PABT'!$H$11:$H$20001,"&lt;&gt;"&amp;"Tạm ứng")-SUMIFS('9. Thu, chi PABT'!$U$11:$U$20001,'9. Thu, chi PABT'!$J$11:$J$20001,'9.1 TH thu,chi PABT+GPMB nhanh '!$D18,'9. Thu, chi PABT'!$K$11:$K$20001,'9.1 TH thu,chi PABT+GPMB nhanh '!$E18,'9. Thu, chi PABT'!$L$11:$L$20001,'9.1 TH thu,chi PABT+GPMB nhanh '!$F18,'9. Thu, chi PABT'!$M$11:$M$20001,'9.1 TH thu,chi PABT+GPMB nhanh '!$G18,'9. Thu, chi PABT'!$B$11:$B$20001,'9.1 TH thu,chi PABT+GPMB nhanh '!$B18,'9. Thu, chi PABT'!$F$11:$F$20001,"&lt;&gt;"&amp;"Tạm ứng",'9. Thu, chi PABT'!$F$11:$F$20001,'9.1 TH thu,chi PABT+GPMB nhanh '!$C18,'9. Thu, chi PABT'!$H$11:$H$20001,"&lt;&gt;"&amp;"Tạm ứng")</f>
        <v>0</v>
      </c>
      <c r="J18" s="137">
        <f t="shared" si="1"/>
        <v>0</v>
      </c>
      <c r="K18" s="138">
        <f>SUMIFS('9. Thu, chi PABT'!$T$11:$T$20001,'9. Thu, chi PABT'!$J$11:$J$20001,'9.1 TH thu,chi PABT+GPMB nhanh '!$D18,'9. Thu, chi PABT'!$K$11:$K$20001,'9.1 TH thu,chi PABT+GPMB nhanh '!$E18,'9. Thu, chi PABT'!$L$11:$L$20001,'9.1 TH thu,chi PABT+GPMB nhanh '!$F18,'9. Thu, chi PABT'!$M$11:$M$20001,'9.1 TH thu,chi PABT+GPMB nhanh '!$G18,'9. Thu, chi PABT'!$B$11:$B$20001,'9.1 TH thu,chi PABT+GPMB nhanh '!$B18,'9. Thu, chi PABT'!$F$11:$F$20001,"&lt;&gt;"&amp;"Tạm ứng",'9. Thu, chi PABT'!$F$11:$F$20001,'9.1 TH thu,chi PABT+GPMB nhanh '!$C18,'9. Thu, chi PABT'!$H$11:$H$20001,"&lt;&gt;"&amp;"Tạm ứng")</f>
        <v>0</v>
      </c>
      <c r="L18" s="138">
        <f>SUMIFS('9. Thu, chi PABT'!$U$11:$U$20001,'9. Thu, chi PABT'!$J$11:$J$20001,'9.1 TH thu,chi PABT+GPMB nhanh '!$D18,'9. Thu, chi PABT'!$K$11:$K$20001,'9.1 TH thu,chi PABT+GPMB nhanh '!$E18,'9. Thu, chi PABT'!$L$11:$L$20001,'9.1 TH thu,chi PABT+GPMB nhanh '!$F18,'9. Thu, chi PABT'!$M$11:$M$20001,'9.1 TH thu,chi PABT+GPMB nhanh '!$G18,'9. Thu, chi PABT'!$B$11:$B$20001,'9.1 TH thu,chi PABT+GPMB nhanh '!$B18,'9. Thu, chi PABT'!$F$11:$F$20001,"&lt;&gt;"&amp;"Tạm ứng",'9. Thu, chi PABT'!$F$11:$F$20001,'9.1 TH thu,chi PABT+GPMB nhanh '!$C18,'9. Thu, chi PABT'!$H$11:$H$20001,"&lt;&gt;"&amp;"Tạm ứng")</f>
        <v>0</v>
      </c>
      <c r="M18" s="137">
        <f t="shared" si="2"/>
        <v>0</v>
      </c>
    </row>
    <row r="19" spans="1:13" x14ac:dyDescent="0.25">
      <c r="A19" s="145">
        <v>10</v>
      </c>
      <c r="B19" s="146"/>
      <c r="C19" s="146"/>
      <c r="D19" s="146"/>
      <c r="E19" s="146"/>
      <c r="F19" s="146"/>
      <c r="G19" s="146"/>
      <c r="H19" s="136">
        <f>SUMIFS('9. Thu, chi PABT'!$T$11:$T$20001,'9. Thu, chi PABT'!$J$11:$J$20001,'9.1 TH thu,chi PABT+GPMB nhanh '!$D19,'9. Thu, chi PABT'!$K$11:$K$20001,'9.1 TH thu,chi PABT+GPMB nhanh '!$E19,'9. Thu, chi PABT'!$L$11:$L$20001,'9.1 TH thu,chi PABT+GPMB nhanh '!$F19,'9. Thu, chi PABT'!$M$11:$M$20001,'9.1 TH thu,chi PABT+GPMB nhanh '!$G19,'9. Thu, chi PABT'!$B$11:$B$20001,'9.1 TH thu,chi PABT+GPMB nhanh '!$B19,'9. Thu, chi PABT'!$D$11:$D$20001,"&lt;&gt;"&amp;"Tạm ứng",'9. Thu, chi PABT'!$F$11:$F$20001,IF('9.1 TH thu,chi PABT+GPMB nhanh '!$C19=0,"",'9.1 TH thu,chi PABT+GPMB nhanh '!$C19),'9. Thu, chi PABT'!$H$11:$H$20001,"&lt;&gt;"&amp;"Tạm ứng")-SUMIFS('9. Thu, chi PABT'!$T$11:$T$20001,'9. Thu, chi PABT'!$J$11:$J$20001,'9.1 TH thu,chi PABT+GPMB nhanh '!$D19,'9. Thu, chi PABT'!$K$11:$K$20001,'9.1 TH thu,chi PABT+GPMB nhanh '!$E19,'9. Thu, chi PABT'!$L$11:$L$20001,'9.1 TH thu,chi PABT+GPMB nhanh '!$F19,'9. Thu, chi PABT'!$M$11:$M$20001,'9.1 TH thu,chi PABT+GPMB nhanh '!$G19,'9. Thu, chi PABT'!$B$11:$B$20001,'9.1 TH thu,chi PABT+GPMB nhanh '!$B19,'9. Thu, chi PABT'!$F$11:$F$20001,"&lt;&gt;"&amp;"Tạm ứng",'9. Thu, chi PABT'!$F$11:$F$20001,'9.1 TH thu,chi PABT+GPMB nhanh '!$C19,'9. Thu, chi PABT'!$H$11:$H$20001,"&lt;&gt;"&amp;"Tạm ứng")</f>
        <v>0</v>
      </c>
      <c r="I19" s="136">
        <f>SUMIFS('9. Thu, chi PABT'!$U$11:$U$20001,'9. Thu, chi PABT'!$J$11:$J$20001,'9.1 TH thu,chi PABT+GPMB nhanh '!$D19,'9. Thu, chi PABT'!$K$11:$K$20001,'9.1 TH thu,chi PABT+GPMB nhanh '!$E19,'9. Thu, chi PABT'!$L$11:$L$20001,'9.1 TH thu,chi PABT+GPMB nhanh '!$F19,'9. Thu, chi PABT'!$M$11:$M$20001,'9.1 TH thu,chi PABT+GPMB nhanh '!$G19,'9. Thu, chi PABT'!$B$11:$B$20001,'9.1 TH thu,chi PABT+GPMB nhanh '!$B19,'9. Thu, chi PABT'!$D$11:$D$20001,"&lt;&gt;"&amp;"Tạm ứng",'9. Thu, chi PABT'!$F$11:$F$20001,IF('9.1 TH thu,chi PABT+GPMB nhanh '!$C19=0,"",'9.1 TH thu,chi PABT+GPMB nhanh '!$C19),'9. Thu, chi PABT'!$H$11:$H$20001,"&lt;&gt;"&amp;"Tạm ứng")-SUMIFS('9. Thu, chi PABT'!$U$11:$U$20001,'9. Thu, chi PABT'!$J$11:$J$20001,'9.1 TH thu,chi PABT+GPMB nhanh '!$D19,'9. Thu, chi PABT'!$K$11:$K$20001,'9.1 TH thu,chi PABT+GPMB nhanh '!$E19,'9. Thu, chi PABT'!$L$11:$L$20001,'9.1 TH thu,chi PABT+GPMB nhanh '!$F19,'9. Thu, chi PABT'!$M$11:$M$20001,'9.1 TH thu,chi PABT+GPMB nhanh '!$G19,'9. Thu, chi PABT'!$B$11:$B$20001,'9.1 TH thu,chi PABT+GPMB nhanh '!$B19,'9. Thu, chi PABT'!$F$11:$F$20001,"&lt;&gt;"&amp;"Tạm ứng",'9. Thu, chi PABT'!$F$11:$F$20001,'9.1 TH thu,chi PABT+GPMB nhanh '!$C19,'9. Thu, chi PABT'!$H$11:$H$20001,"&lt;&gt;"&amp;"Tạm ứng")</f>
        <v>0</v>
      </c>
      <c r="J19" s="137">
        <f t="shared" si="1"/>
        <v>0</v>
      </c>
      <c r="K19" s="138">
        <f>SUMIFS('9. Thu, chi PABT'!$T$11:$T$20001,'9. Thu, chi PABT'!$J$11:$J$20001,'9.1 TH thu,chi PABT+GPMB nhanh '!$D19,'9. Thu, chi PABT'!$K$11:$K$20001,'9.1 TH thu,chi PABT+GPMB nhanh '!$E19,'9. Thu, chi PABT'!$L$11:$L$20001,'9.1 TH thu,chi PABT+GPMB nhanh '!$F19,'9. Thu, chi PABT'!$M$11:$M$20001,'9.1 TH thu,chi PABT+GPMB nhanh '!$G19,'9. Thu, chi PABT'!$B$11:$B$20001,'9.1 TH thu,chi PABT+GPMB nhanh '!$B19,'9. Thu, chi PABT'!$F$11:$F$20001,"&lt;&gt;"&amp;"Tạm ứng",'9. Thu, chi PABT'!$F$11:$F$20001,'9.1 TH thu,chi PABT+GPMB nhanh '!$C19,'9. Thu, chi PABT'!$H$11:$H$20001,"&lt;&gt;"&amp;"Tạm ứng")</f>
        <v>0</v>
      </c>
      <c r="L19" s="138">
        <f>SUMIFS('9. Thu, chi PABT'!$U$11:$U$20001,'9. Thu, chi PABT'!$J$11:$J$20001,'9.1 TH thu,chi PABT+GPMB nhanh '!$D19,'9. Thu, chi PABT'!$K$11:$K$20001,'9.1 TH thu,chi PABT+GPMB nhanh '!$E19,'9. Thu, chi PABT'!$L$11:$L$20001,'9.1 TH thu,chi PABT+GPMB nhanh '!$F19,'9. Thu, chi PABT'!$M$11:$M$20001,'9.1 TH thu,chi PABT+GPMB nhanh '!$G19,'9. Thu, chi PABT'!$B$11:$B$20001,'9.1 TH thu,chi PABT+GPMB nhanh '!$B19,'9. Thu, chi PABT'!$F$11:$F$20001,"&lt;&gt;"&amp;"Tạm ứng",'9. Thu, chi PABT'!$F$11:$F$20001,'9.1 TH thu,chi PABT+GPMB nhanh '!$C19,'9. Thu, chi PABT'!$H$11:$H$20001,"&lt;&gt;"&amp;"Tạm ứng")</f>
        <v>0</v>
      </c>
      <c r="M19" s="137">
        <f t="shared" si="2"/>
        <v>0</v>
      </c>
    </row>
    <row r="20" spans="1:13" x14ac:dyDescent="0.25">
      <c r="A20" s="145">
        <v>11</v>
      </c>
      <c r="B20" s="146"/>
      <c r="C20" s="146"/>
      <c r="D20" s="146"/>
      <c r="E20" s="146"/>
      <c r="F20" s="146"/>
      <c r="G20" s="146"/>
      <c r="H20" s="136">
        <f>SUMIFS('9. Thu, chi PABT'!$T$11:$T$20001,'9. Thu, chi PABT'!$J$11:$J$20001,'9.1 TH thu,chi PABT+GPMB nhanh '!$D20,'9. Thu, chi PABT'!$K$11:$K$20001,'9.1 TH thu,chi PABT+GPMB nhanh '!$E20,'9. Thu, chi PABT'!$L$11:$L$20001,'9.1 TH thu,chi PABT+GPMB nhanh '!$F20,'9. Thu, chi PABT'!$M$11:$M$20001,'9.1 TH thu,chi PABT+GPMB nhanh '!$G20,'9. Thu, chi PABT'!$B$11:$B$20001,'9.1 TH thu,chi PABT+GPMB nhanh '!$B20,'9. Thu, chi PABT'!$D$11:$D$20001,"&lt;&gt;"&amp;"Tạm ứng",'9. Thu, chi PABT'!$F$11:$F$20001,IF('9.1 TH thu,chi PABT+GPMB nhanh '!$C20=0,"",'9.1 TH thu,chi PABT+GPMB nhanh '!$C20),'9. Thu, chi PABT'!$H$11:$H$20001,"&lt;&gt;"&amp;"Tạm ứng")-SUMIFS('9. Thu, chi PABT'!$T$11:$T$20001,'9. Thu, chi PABT'!$J$11:$J$20001,'9.1 TH thu,chi PABT+GPMB nhanh '!$D20,'9. Thu, chi PABT'!$K$11:$K$20001,'9.1 TH thu,chi PABT+GPMB nhanh '!$E20,'9. Thu, chi PABT'!$L$11:$L$20001,'9.1 TH thu,chi PABT+GPMB nhanh '!$F20,'9. Thu, chi PABT'!$M$11:$M$20001,'9.1 TH thu,chi PABT+GPMB nhanh '!$G20,'9. Thu, chi PABT'!$B$11:$B$20001,'9.1 TH thu,chi PABT+GPMB nhanh '!$B20,'9. Thu, chi PABT'!$F$11:$F$20001,"&lt;&gt;"&amp;"Tạm ứng",'9. Thu, chi PABT'!$F$11:$F$20001,'9.1 TH thu,chi PABT+GPMB nhanh '!$C20,'9. Thu, chi PABT'!$H$11:$H$20001,"&lt;&gt;"&amp;"Tạm ứng")</f>
        <v>0</v>
      </c>
      <c r="I20" s="136">
        <f>SUMIFS('9. Thu, chi PABT'!$U$11:$U$20001,'9. Thu, chi PABT'!$J$11:$J$20001,'9.1 TH thu,chi PABT+GPMB nhanh '!$D20,'9. Thu, chi PABT'!$K$11:$K$20001,'9.1 TH thu,chi PABT+GPMB nhanh '!$E20,'9. Thu, chi PABT'!$L$11:$L$20001,'9.1 TH thu,chi PABT+GPMB nhanh '!$F20,'9. Thu, chi PABT'!$M$11:$M$20001,'9.1 TH thu,chi PABT+GPMB nhanh '!$G20,'9. Thu, chi PABT'!$B$11:$B$20001,'9.1 TH thu,chi PABT+GPMB nhanh '!$B20,'9. Thu, chi PABT'!$D$11:$D$20001,"&lt;&gt;"&amp;"Tạm ứng",'9. Thu, chi PABT'!$F$11:$F$20001,IF('9.1 TH thu,chi PABT+GPMB nhanh '!$C20=0,"",'9.1 TH thu,chi PABT+GPMB nhanh '!$C20),'9. Thu, chi PABT'!$H$11:$H$20001,"&lt;&gt;"&amp;"Tạm ứng")-SUMIFS('9. Thu, chi PABT'!$U$11:$U$20001,'9. Thu, chi PABT'!$J$11:$J$20001,'9.1 TH thu,chi PABT+GPMB nhanh '!$D20,'9. Thu, chi PABT'!$K$11:$K$20001,'9.1 TH thu,chi PABT+GPMB nhanh '!$E20,'9. Thu, chi PABT'!$L$11:$L$20001,'9.1 TH thu,chi PABT+GPMB nhanh '!$F20,'9. Thu, chi PABT'!$M$11:$M$20001,'9.1 TH thu,chi PABT+GPMB nhanh '!$G20,'9. Thu, chi PABT'!$B$11:$B$20001,'9.1 TH thu,chi PABT+GPMB nhanh '!$B20,'9. Thu, chi PABT'!$F$11:$F$20001,"&lt;&gt;"&amp;"Tạm ứng",'9. Thu, chi PABT'!$F$11:$F$20001,'9.1 TH thu,chi PABT+GPMB nhanh '!$C20,'9. Thu, chi PABT'!$H$11:$H$20001,"&lt;&gt;"&amp;"Tạm ứng")</f>
        <v>0</v>
      </c>
      <c r="J20" s="137">
        <f t="shared" si="1"/>
        <v>0</v>
      </c>
      <c r="K20" s="138">
        <f>SUMIFS('9. Thu, chi PABT'!$T$11:$T$20001,'9. Thu, chi PABT'!$J$11:$J$20001,'9.1 TH thu,chi PABT+GPMB nhanh '!$D20,'9. Thu, chi PABT'!$K$11:$K$20001,'9.1 TH thu,chi PABT+GPMB nhanh '!$E20,'9. Thu, chi PABT'!$L$11:$L$20001,'9.1 TH thu,chi PABT+GPMB nhanh '!$F20,'9. Thu, chi PABT'!$M$11:$M$20001,'9.1 TH thu,chi PABT+GPMB nhanh '!$G20,'9. Thu, chi PABT'!$B$11:$B$20001,'9.1 TH thu,chi PABT+GPMB nhanh '!$B20,'9. Thu, chi PABT'!$F$11:$F$20001,"&lt;&gt;"&amp;"Tạm ứng",'9. Thu, chi PABT'!$F$11:$F$20001,'9.1 TH thu,chi PABT+GPMB nhanh '!$C20,'9. Thu, chi PABT'!$H$11:$H$20001,"&lt;&gt;"&amp;"Tạm ứng")</f>
        <v>0</v>
      </c>
      <c r="L20" s="138">
        <f>SUMIFS('9. Thu, chi PABT'!$U$11:$U$20001,'9. Thu, chi PABT'!$J$11:$J$20001,'9.1 TH thu,chi PABT+GPMB nhanh '!$D20,'9. Thu, chi PABT'!$K$11:$K$20001,'9.1 TH thu,chi PABT+GPMB nhanh '!$E20,'9. Thu, chi PABT'!$L$11:$L$20001,'9.1 TH thu,chi PABT+GPMB nhanh '!$F20,'9. Thu, chi PABT'!$M$11:$M$20001,'9.1 TH thu,chi PABT+GPMB nhanh '!$G20,'9. Thu, chi PABT'!$B$11:$B$20001,'9.1 TH thu,chi PABT+GPMB nhanh '!$B20,'9. Thu, chi PABT'!$F$11:$F$20001,"&lt;&gt;"&amp;"Tạm ứng",'9. Thu, chi PABT'!$F$11:$F$20001,'9.1 TH thu,chi PABT+GPMB nhanh '!$C20,'9. Thu, chi PABT'!$H$11:$H$20001,"&lt;&gt;"&amp;"Tạm ứng")</f>
        <v>0</v>
      </c>
      <c r="M20" s="137">
        <f t="shared" si="2"/>
        <v>0</v>
      </c>
    </row>
    <row r="21" spans="1:13" x14ac:dyDescent="0.25">
      <c r="A21" s="145">
        <v>12</v>
      </c>
      <c r="B21" s="146"/>
      <c r="C21" s="146"/>
      <c r="D21" s="146"/>
      <c r="E21" s="146"/>
      <c r="F21" s="146"/>
      <c r="G21" s="146"/>
      <c r="H21" s="136">
        <f>SUMIFS('9. Thu, chi PABT'!$T$11:$T$20001,'9. Thu, chi PABT'!$J$11:$J$20001,'9.1 TH thu,chi PABT+GPMB nhanh '!$D21,'9. Thu, chi PABT'!$K$11:$K$20001,'9.1 TH thu,chi PABT+GPMB nhanh '!$E21,'9. Thu, chi PABT'!$L$11:$L$20001,'9.1 TH thu,chi PABT+GPMB nhanh '!$F21,'9. Thu, chi PABT'!$M$11:$M$20001,'9.1 TH thu,chi PABT+GPMB nhanh '!$G21,'9. Thu, chi PABT'!$B$11:$B$20001,'9.1 TH thu,chi PABT+GPMB nhanh '!$B21,'9. Thu, chi PABT'!$D$11:$D$20001,"&lt;&gt;"&amp;"Tạm ứng",'9. Thu, chi PABT'!$F$11:$F$20001,IF('9.1 TH thu,chi PABT+GPMB nhanh '!$C21=0,"",'9.1 TH thu,chi PABT+GPMB nhanh '!$C21),'9. Thu, chi PABT'!$H$11:$H$20001,"&lt;&gt;"&amp;"Tạm ứng")-SUMIFS('9. Thu, chi PABT'!$T$11:$T$20001,'9. Thu, chi PABT'!$J$11:$J$20001,'9.1 TH thu,chi PABT+GPMB nhanh '!$D21,'9. Thu, chi PABT'!$K$11:$K$20001,'9.1 TH thu,chi PABT+GPMB nhanh '!$E21,'9. Thu, chi PABT'!$L$11:$L$20001,'9.1 TH thu,chi PABT+GPMB nhanh '!$F21,'9. Thu, chi PABT'!$M$11:$M$20001,'9.1 TH thu,chi PABT+GPMB nhanh '!$G21,'9. Thu, chi PABT'!$B$11:$B$20001,'9.1 TH thu,chi PABT+GPMB nhanh '!$B21,'9. Thu, chi PABT'!$F$11:$F$20001,"&lt;&gt;"&amp;"Tạm ứng",'9. Thu, chi PABT'!$F$11:$F$20001,'9.1 TH thu,chi PABT+GPMB nhanh '!$C21,'9. Thu, chi PABT'!$H$11:$H$20001,"&lt;&gt;"&amp;"Tạm ứng")</f>
        <v>0</v>
      </c>
      <c r="I21" s="136">
        <f>SUMIFS('9. Thu, chi PABT'!$U$11:$U$20001,'9. Thu, chi PABT'!$J$11:$J$20001,'9.1 TH thu,chi PABT+GPMB nhanh '!$D21,'9. Thu, chi PABT'!$K$11:$K$20001,'9.1 TH thu,chi PABT+GPMB nhanh '!$E21,'9. Thu, chi PABT'!$L$11:$L$20001,'9.1 TH thu,chi PABT+GPMB nhanh '!$F21,'9. Thu, chi PABT'!$M$11:$M$20001,'9.1 TH thu,chi PABT+GPMB nhanh '!$G21,'9. Thu, chi PABT'!$B$11:$B$20001,'9.1 TH thu,chi PABT+GPMB nhanh '!$B21,'9. Thu, chi PABT'!$D$11:$D$20001,"&lt;&gt;"&amp;"Tạm ứng",'9. Thu, chi PABT'!$F$11:$F$20001,IF('9.1 TH thu,chi PABT+GPMB nhanh '!$C21=0,"",'9.1 TH thu,chi PABT+GPMB nhanh '!$C21),'9. Thu, chi PABT'!$H$11:$H$20001,"&lt;&gt;"&amp;"Tạm ứng")-SUMIFS('9. Thu, chi PABT'!$U$11:$U$20001,'9. Thu, chi PABT'!$J$11:$J$20001,'9.1 TH thu,chi PABT+GPMB nhanh '!$D21,'9. Thu, chi PABT'!$K$11:$K$20001,'9.1 TH thu,chi PABT+GPMB nhanh '!$E21,'9. Thu, chi PABT'!$L$11:$L$20001,'9.1 TH thu,chi PABT+GPMB nhanh '!$F21,'9. Thu, chi PABT'!$M$11:$M$20001,'9.1 TH thu,chi PABT+GPMB nhanh '!$G21,'9. Thu, chi PABT'!$B$11:$B$20001,'9.1 TH thu,chi PABT+GPMB nhanh '!$B21,'9. Thu, chi PABT'!$F$11:$F$20001,"&lt;&gt;"&amp;"Tạm ứng",'9. Thu, chi PABT'!$F$11:$F$20001,'9.1 TH thu,chi PABT+GPMB nhanh '!$C21,'9. Thu, chi PABT'!$H$11:$H$20001,"&lt;&gt;"&amp;"Tạm ứng")</f>
        <v>0</v>
      </c>
      <c r="J21" s="137">
        <f t="shared" si="1"/>
        <v>0</v>
      </c>
      <c r="K21" s="138">
        <f>SUMIFS('9. Thu, chi PABT'!$T$11:$T$20001,'9. Thu, chi PABT'!$J$11:$J$20001,'9.1 TH thu,chi PABT+GPMB nhanh '!$D21,'9. Thu, chi PABT'!$K$11:$K$20001,'9.1 TH thu,chi PABT+GPMB nhanh '!$E21,'9. Thu, chi PABT'!$L$11:$L$20001,'9.1 TH thu,chi PABT+GPMB nhanh '!$F21,'9. Thu, chi PABT'!$M$11:$M$20001,'9.1 TH thu,chi PABT+GPMB nhanh '!$G21,'9. Thu, chi PABT'!$B$11:$B$20001,'9.1 TH thu,chi PABT+GPMB nhanh '!$B21,'9. Thu, chi PABT'!$F$11:$F$20001,"&lt;&gt;"&amp;"Tạm ứng",'9. Thu, chi PABT'!$F$11:$F$20001,'9.1 TH thu,chi PABT+GPMB nhanh '!$C21,'9. Thu, chi PABT'!$H$11:$H$20001,"&lt;&gt;"&amp;"Tạm ứng")</f>
        <v>0</v>
      </c>
      <c r="L21" s="138">
        <f>SUMIFS('9. Thu, chi PABT'!$U$11:$U$20001,'9. Thu, chi PABT'!$J$11:$J$20001,'9.1 TH thu,chi PABT+GPMB nhanh '!$D21,'9. Thu, chi PABT'!$K$11:$K$20001,'9.1 TH thu,chi PABT+GPMB nhanh '!$E21,'9. Thu, chi PABT'!$L$11:$L$20001,'9.1 TH thu,chi PABT+GPMB nhanh '!$F21,'9. Thu, chi PABT'!$M$11:$M$20001,'9.1 TH thu,chi PABT+GPMB nhanh '!$G21,'9. Thu, chi PABT'!$B$11:$B$20001,'9.1 TH thu,chi PABT+GPMB nhanh '!$B21,'9. Thu, chi PABT'!$F$11:$F$20001,"&lt;&gt;"&amp;"Tạm ứng",'9. Thu, chi PABT'!$F$11:$F$20001,'9.1 TH thu,chi PABT+GPMB nhanh '!$C21,'9. Thu, chi PABT'!$H$11:$H$20001,"&lt;&gt;"&amp;"Tạm ứng")</f>
        <v>0</v>
      </c>
      <c r="M21" s="137">
        <f t="shared" si="2"/>
        <v>0</v>
      </c>
    </row>
    <row r="22" spans="1:13" x14ac:dyDescent="0.25">
      <c r="A22" s="145">
        <v>13</v>
      </c>
      <c r="B22" s="146"/>
      <c r="C22" s="146"/>
      <c r="D22" s="146"/>
      <c r="E22" s="146"/>
      <c r="F22" s="146"/>
      <c r="G22" s="146"/>
      <c r="H22" s="136">
        <f>SUMIFS('9. Thu, chi PABT'!$T$11:$T$20001,'9. Thu, chi PABT'!$J$11:$J$20001,'9.1 TH thu,chi PABT+GPMB nhanh '!$D22,'9. Thu, chi PABT'!$K$11:$K$20001,'9.1 TH thu,chi PABT+GPMB nhanh '!$E22,'9. Thu, chi PABT'!$L$11:$L$20001,'9.1 TH thu,chi PABT+GPMB nhanh '!$F22,'9. Thu, chi PABT'!$M$11:$M$20001,'9.1 TH thu,chi PABT+GPMB nhanh '!$G22,'9. Thu, chi PABT'!$B$11:$B$20001,'9.1 TH thu,chi PABT+GPMB nhanh '!$B22,'9. Thu, chi PABT'!$D$11:$D$20001,"&lt;&gt;"&amp;"Tạm ứng",'9. Thu, chi PABT'!$F$11:$F$20001,IF('9.1 TH thu,chi PABT+GPMB nhanh '!$C22=0,"",'9.1 TH thu,chi PABT+GPMB nhanh '!$C22),'9. Thu, chi PABT'!$H$11:$H$20001,"&lt;&gt;"&amp;"Tạm ứng")-SUMIFS('9. Thu, chi PABT'!$T$11:$T$20001,'9. Thu, chi PABT'!$J$11:$J$20001,'9.1 TH thu,chi PABT+GPMB nhanh '!$D22,'9. Thu, chi PABT'!$K$11:$K$20001,'9.1 TH thu,chi PABT+GPMB nhanh '!$E22,'9. Thu, chi PABT'!$L$11:$L$20001,'9.1 TH thu,chi PABT+GPMB nhanh '!$F22,'9. Thu, chi PABT'!$M$11:$M$20001,'9.1 TH thu,chi PABT+GPMB nhanh '!$G22,'9. Thu, chi PABT'!$B$11:$B$20001,'9.1 TH thu,chi PABT+GPMB nhanh '!$B22,'9. Thu, chi PABT'!$F$11:$F$20001,"&lt;&gt;"&amp;"Tạm ứng",'9. Thu, chi PABT'!$F$11:$F$20001,'9.1 TH thu,chi PABT+GPMB nhanh '!$C22,'9. Thu, chi PABT'!$H$11:$H$20001,"&lt;&gt;"&amp;"Tạm ứng")</f>
        <v>0</v>
      </c>
      <c r="I22" s="136">
        <f>SUMIFS('9. Thu, chi PABT'!$U$11:$U$20001,'9. Thu, chi PABT'!$J$11:$J$20001,'9.1 TH thu,chi PABT+GPMB nhanh '!$D22,'9. Thu, chi PABT'!$K$11:$K$20001,'9.1 TH thu,chi PABT+GPMB nhanh '!$E22,'9. Thu, chi PABT'!$L$11:$L$20001,'9.1 TH thu,chi PABT+GPMB nhanh '!$F22,'9. Thu, chi PABT'!$M$11:$M$20001,'9.1 TH thu,chi PABT+GPMB nhanh '!$G22,'9. Thu, chi PABT'!$B$11:$B$20001,'9.1 TH thu,chi PABT+GPMB nhanh '!$B22,'9. Thu, chi PABT'!$D$11:$D$20001,"&lt;&gt;"&amp;"Tạm ứng",'9. Thu, chi PABT'!$F$11:$F$20001,IF('9.1 TH thu,chi PABT+GPMB nhanh '!$C22=0,"",'9.1 TH thu,chi PABT+GPMB nhanh '!$C22),'9. Thu, chi PABT'!$H$11:$H$20001,"&lt;&gt;"&amp;"Tạm ứng")-SUMIFS('9. Thu, chi PABT'!$U$11:$U$20001,'9. Thu, chi PABT'!$J$11:$J$20001,'9.1 TH thu,chi PABT+GPMB nhanh '!$D22,'9. Thu, chi PABT'!$K$11:$K$20001,'9.1 TH thu,chi PABT+GPMB nhanh '!$E22,'9. Thu, chi PABT'!$L$11:$L$20001,'9.1 TH thu,chi PABT+GPMB nhanh '!$F22,'9. Thu, chi PABT'!$M$11:$M$20001,'9.1 TH thu,chi PABT+GPMB nhanh '!$G22,'9. Thu, chi PABT'!$B$11:$B$20001,'9.1 TH thu,chi PABT+GPMB nhanh '!$B22,'9. Thu, chi PABT'!$F$11:$F$20001,"&lt;&gt;"&amp;"Tạm ứng",'9. Thu, chi PABT'!$F$11:$F$20001,'9.1 TH thu,chi PABT+GPMB nhanh '!$C22,'9. Thu, chi PABT'!$H$11:$H$20001,"&lt;&gt;"&amp;"Tạm ứng")</f>
        <v>0</v>
      </c>
      <c r="J22" s="137">
        <f t="shared" si="1"/>
        <v>0</v>
      </c>
      <c r="K22" s="138">
        <f>SUMIFS('9. Thu, chi PABT'!$T$11:$T$20001,'9. Thu, chi PABT'!$J$11:$J$20001,'9.1 TH thu,chi PABT+GPMB nhanh '!$D22,'9. Thu, chi PABT'!$K$11:$K$20001,'9.1 TH thu,chi PABT+GPMB nhanh '!$E22,'9. Thu, chi PABT'!$L$11:$L$20001,'9.1 TH thu,chi PABT+GPMB nhanh '!$F22,'9. Thu, chi PABT'!$M$11:$M$20001,'9.1 TH thu,chi PABT+GPMB nhanh '!$G22,'9. Thu, chi PABT'!$B$11:$B$20001,'9.1 TH thu,chi PABT+GPMB nhanh '!$B22,'9. Thu, chi PABT'!$F$11:$F$20001,"&lt;&gt;"&amp;"Tạm ứng",'9. Thu, chi PABT'!$F$11:$F$20001,'9.1 TH thu,chi PABT+GPMB nhanh '!$C22,'9. Thu, chi PABT'!$H$11:$H$20001,"&lt;&gt;"&amp;"Tạm ứng")</f>
        <v>0</v>
      </c>
      <c r="L22" s="138">
        <f>SUMIFS('9. Thu, chi PABT'!$U$11:$U$20001,'9. Thu, chi PABT'!$J$11:$J$20001,'9.1 TH thu,chi PABT+GPMB nhanh '!$D22,'9. Thu, chi PABT'!$K$11:$K$20001,'9.1 TH thu,chi PABT+GPMB nhanh '!$E22,'9. Thu, chi PABT'!$L$11:$L$20001,'9.1 TH thu,chi PABT+GPMB nhanh '!$F22,'9. Thu, chi PABT'!$M$11:$M$20001,'9.1 TH thu,chi PABT+GPMB nhanh '!$G22,'9. Thu, chi PABT'!$B$11:$B$20001,'9.1 TH thu,chi PABT+GPMB nhanh '!$B22,'9. Thu, chi PABT'!$F$11:$F$20001,"&lt;&gt;"&amp;"Tạm ứng",'9. Thu, chi PABT'!$F$11:$F$20001,'9.1 TH thu,chi PABT+GPMB nhanh '!$C22,'9. Thu, chi PABT'!$H$11:$H$20001,"&lt;&gt;"&amp;"Tạm ứng")</f>
        <v>0</v>
      </c>
      <c r="M22" s="137">
        <f t="shared" si="2"/>
        <v>0</v>
      </c>
    </row>
  </sheetData>
  <mergeCells count="8">
    <mergeCell ref="A1:F1"/>
    <mergeCell ref="A2:F2"/>
    <mergeCell ref="H7:J7"/>
    <mergeCell ref="K7:M7"/>
    <mergeCell ref="A7:C7"/>
    <mergeCell ref="D7:G7"/>
    <mergeCell ref="A4:M4"/>
    <mergeCell ref="A5:M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61F7-CFEF-497C-A12F-B044D635C0A9}">
  <dimension ref="A1:P17"/>
  <sheetViews>
    <sheetView zoomScale="85" zoomScaleNormal="85" workbookViewId="0">
      <selection activeCell="J17" sqref="J17"/>
    </sheetView>
  </sheetViews>
  <sheetFormatPr defaultColWidth="8.85546875" defaultRowHeight="15" x14ac:dyDescent="0.25"/>
  <cols>
    <col min="1" max="1" width="4.42578125" style="87" customWidth="1"/>
    <col min="2" max="2" width="11.7109375" style="87" customWidth="1"/>
    <col min="3" max="3" width="17.28515625" style="87" customWidth="1"/>
    <col min="4" max="4" width="11.5703125" style="87" customWidth="1"/>
    <col min="5" max="7" width="14.28515625" style="153" customWidth="1"/>
    <col min="8" max="8" width="16.5703125" style="153" bestFit="1" customWidth="1"/>
    <col min="9" max="16" width="14.28515625" style="153" customWidth="1"/>
    <col min="17" max="16384" width="8.85546875" style="87"/>
  </cols>
  <sheetData>
    <row r="1" spans="1:16" ht="15.6" customHeight="1" x14ac:dyDescent="0.25">
      <c r="A1" s="168" t="s">
        <v>9</v>
      </c>
      <c r="B1" s="168"/>
      <c r="C1" s="168"/>
      <c r="D1" s="168"/>
      <c r="E1" s="168"/>
      <c r="F1" s="49"/>
      <c r="G1" s="49"/>
      <c r="H1" s="49"/>
      <c r="I1" s="49"/>
      <c r="J1" s="49"/>
      <c r="K1" s="1"/>
      <c r="L1" s="1"/>
      <c r="M1" s="35"/>
      <c r="N1" s="14"/>
    </row>
    <row r="2" spans="1:16" ht="15.6" customHeight="1" x14ac:dyDescent="0.25">
      <c r="A2" s="168" t="s">
        <v>10</v>
      </c>
      <c r="B2" s="168"/>
      <c r="C2" s="168"/>
      <c r="D2" s="168"/>
      <c r="E2" s="168"/>
      <c r="F2" s="49"/>
      <c r="G2" s="49"/>
      <c r="H2" s="49"/>
      <c r="I2" s="49"/>
      <c r="J2" s="49"/>
      <c r="K2" s="1"/>
      <c r="L2" s="1"/>
      <c r="M2" s="35"/>
      <c r="N2" s="14"/>
    </row>
    <row r="3" spans="1:16" ht="15.75" x14ac:dyDescent="0.25">
      <c r="A3" s="2"/>
      <c r="B3" s="1"/>
      <c r="C3" s="20"/>
      <c r="D3" s="1"/>
      <c r="E3" s="1"/>
      <c r="F3" s="1"/>
      <c r="G3" s="1"/>
      <c r="H3" s="1"/>
      <c r="I3" s="20"/>
      <c r="J3" s="21"/>
      <c r="K3" s="21"/>
      <c r="L3" s="62"/>
      <c r="M3" s="68"/>
      <c r="N3" s="22"/>
    </row>
    <row r="4" spans="1:16" ht="15.6" customHeight="1" x14ac:dyDescent="0.25">
      <c r="A4" s="168" t="s">
        <v>289</v>
      </c>
      <c r="B4" s="168"/>
      <c r="C4" s="168"/>
      <c r="D4" s="168"/>
      <c r="E4" s="168"/>
      <c r="F4" s="168"/>
      <c r="G4" s="168"/>
      <c r="H4" s="168"/>
      <c r="I4" s="168"/>
      <c r="J4" s="168"/>
      <c r="K4" s="168"/>
      <c r="L4" s="168"/>
      <c r="M4" s="168"/>
      <c r="N4" s="168"/>
      <c r="O4" s="168"/>
      <c r="P4" s="168"/>
    </row>
    <row r="5" spans="1:16" ht="15.6" customHeight="1" x14ac:dyDescent="0.25">
      <c r="A5" s="1"/>
      <c r="B5" s="154"/>
      <c r="C5" s="154" t="s">
        <v>297</v>
      </c>
      <c r="D5" s="155">
        <v>45433</v>
      </c>
      <c r="E5" s="1"/>
      <c r="F5" s="1"/>
      <c r="G5" s="1"/>
      <c r="H5" s="1"/>
      <c r="I5" s="1"/>
      <c r="J5" s="1"/>
      <c r="K5" s="1"/>
      <c r="L5" s="1"/>
      <c r="M5" s="1"/>
      <c r="N5" s="1"/>
      <c r="O5" s="1"/>
      <c r="P5" s="1"/>
    </row>
    <row r="6" spans="1:16" x14ac:dyDescent="0.25">
      <c r="B6" s="156"/>
      <c r="C6" s="156" t="s">
        <v>298</v>
      </c>
      <c r="D6" s="157">
        <v>45432</v>
      </c>
    </row>
    <row r="7" spans="1:16" ht="13.9" customHeight="1" x14ac:dyDescent="0.25">
      <c r="A7" s="174" t="s">
        <v>40</v>
      </c>
      <c r="B7" s="175"/>
      <c r="C7" s="175"/>
      <c r="D7" s="183"/>
      <c r="E7" s="187" t="s">
        <v>263</v>
      </c>
      <c r="F7" s="188"/>
      <c r="G7" s="188"/>
      <c r="H7" s="189"/>
      <c r="I7" s="187" t="s">
        <v>266</v>
      </c>
      <c r="J7" s="188"/>
      <c r="K7" s="188"/>
      <c r="L7" s="189"/>
      <c r="M7" s="187" t="s">
        <v>267</v>
      </c>
      <c r="N7" s="188"/>
      <c r="O7" s="188"/>
      <c r="P7" s="189"/>
    </row>
    <row r="8" spans="1:16" ht="42.75" x14ac:dyDescent="0.25">
      <c r="A8" s="86" t="s">
        <v>0</v>
      </c>
      <c r="B8" s="5" t="s">
        <v>217</v>
      </c>
      <c r="C8" s="4" t="s">
        <v>36</v>
      </c>
      <c r="D8" s="5" t="s">
        <v>82</v>
      </c>
      <c r="E8" s="98" t="s">
        <v>288</v>
      </c>
      <c r="F8" s="98" t="s">
        <v>264</v>
      </c>
      <c r="G8" s="98" t="s">
        <v>265</v>
      </c>
      <c r="H8" s="105" t="s">
        <v>287</v>
      </c>
      <c r="I8" s="98" t="s">
        <v>288</v>
      </c>
      <c r="J8" s="98" t="s">
        <v>264</v>
      </c>
      <c r="K8" s="98" t="s">
        <v>265</v>
      </c>
      <c r="L8" s="105" t="s">
        <v>287</v>
      </c>
      <c r="M8" s="98" t="s">
        <v>288</v>
      </c>
      <c r="N8" s="98" t="s">
        <v>264</v>
      </c>
      <c r="O8" s="98" t="s">
        <v>265</v>
      </c>
      <c r="P8" s="105" t="s">
        <v>287</v>
      </c>
    </row>
    <row r="9" spans="1:16" x14ac:dyDescent="0.25">
      <c r="A9" s="88"/>
      <c r="B9" s="88" t="str" cm="1">
        <f t="array" ref="B9:D13">_xlfn.UNIQUE(_xlfn.HSTACK(_xlfn._xlws.FILTER('9. Thu, chi PABT'!$B$11:$B$33,('9. Thu, chi PABT'!$R$11:$R$33&lt;='TH T.ứng+thu+chi PABT'!$D$6)*('9. Thu, chi PABT'!$F$11:$F$33="")),_xlfn._xlws.FILTER('9. Thu, chi PABT'!$J$11:$J$33,('9. Thu, chi PABT'!$R$11:$R$33&lt;='TH T.ứng+thu+chi PABT'!$D$6)*('9. Thu, chi PABT'!$F$11:$F$33="")),_xlfn._xlws.FILTER('9. Thu, chi PABT'!$M$11:$M$33,('9. Thu, chi PABT'!$R$11:$R$33&lt;='TH T.ứng+thu+chi PABT'!$D$6)*('9. Thu, chi PABT'!$F$11:$F$33=""))))</f>
        <v>Tạm ứng</v>
      </c>
      <c r="C9" s="88" t="str">
        <v>Nguyễn Đức Anh</v>
      </c>
      <c r="D9" s="88" t="str">
        <v>123A</v>
      </c>
      <c r="E9" s="152">
        <f>SUMIFS('9. Thu, chi PABT'!$T$11:$T$33,'9. Thu, chi PABT'!$B$11:$B$33,'TH T.ứng+thu+chi PABT'!B9,'9. Thu, chi PABT'!$J$11:$J$33,'TH T.ứng+thu+chi PABT'!C9,'9. Thu, chi PABT'!$M$11:$M$33,'TH T.ứng+thu+chi PABT'!D9,'9. Thu, chi PABT'!$R$11:$R$33,"&lt;"&amp;'TH T.ứng+thu+chi PABT'!$D$5,'9. Thu, chi PABT'!$B$11:$B$33,"&lt;&gt;Tạm ứng",'9. Thu, chi PABT'!$D$11:$D$33,"&lt;&gt;Tạm ứng",'9. Thu, chi PABT'!$F$11:$F$33,"")</f>
        <v>0</v>
      </c>
      <c r="F9" s="152">
        <f>SUMIFS('9. Thu, chi PABT'!$T$11:$T$33,'9. Thu, chi PABT'!$B$11:$B$33,'TH T.ứng+thu+chi PABT'!B9,'9. Thu, chi PABT'!$J$11:$J$33,'TH T.ứng+thu+chi PABT'!C9,'9. Thu, chi PABT'!$M$11:$M$33,'TH T.ứng+thu+chi PABT'!D9,'9. Thu, chi PABT'!$R$11:$R$33,"&lt;"&amp;'TH T.ứng+thu+chi PABT'!$D$5,'9. Thu, chi PABT'!$B$11:$B$33,"Tạm ứng",'9. Thu, chi PABT'!$F$11:$F$33,"")
+SUMIFS('9. Thu, chi PABT'!$T$11:$T$33,'9. Thu, chi PABT'!$B$11:$B$33,'TH T.ứng+thu+chi PABT'!B9,'9. Thu, chi PABT'!$J$11:$J$33,'TH T.ứng+thu+chi PABT'!C9,'9. Thu, chi PABT'!$M$11:$M$33,'TH T.ứng+thu+chi PABT'!D9,'9. Thu, chi PABT'!$R$11:$R$33,"&lt;"&amp;'TH T.ứng+thu+chi PABT'!$D$5,'9. Thu, chi PABT'!$D$11:$D$33,"Tạm ứng",'9. Thu, chi PABT'!$F$11:$F$33,"")</f>
        <v>100000000</v>
      </c>
      <c r="G9" s="152">
        <f>SUMIFS('9. Thu, chi PABT'!$U$11:$U$33,'9. Thu, chi PABT'!$B$11:$B$33,'TH T.ứng+thu+chi PABT'!B9,'9. Thu, chi PABT'!$J$11:$J$33,'TH T.ứng+thu+chi PABT'!C9,'9. Thu, chi PABT'!$M$11:$M$33,'TH T.ứng+thu+chi PABT'!D9,'9. Thu, chi PABT'!$F$11:$F$33,"",'9. Thu, chi PABT'!$R$11:$R$33,"&lt;"&amp;'TH T.ứng+thu+chi PABT'!$D$5)</f>
        <v>0</v>
      </c>
      <c r="H9" s="130">
        <f>(E9+F9)-G9</f>
        <v>100000000</v>
      </c>
      <c r="I9" s="152">
        <f>SUMIFS('9. Thu, chi PABT'!$T$11:$T$33,'9. Thu, chi PABT'!$B$11:$B$33,'TH T.ứng+thu+chi PABT'!B9,'9. Thu, chi PABT'!$J$11:$J$33,'TH T.ứng+thu+chi PABT'!C9,'9. Thu, chi PABT'!$M$11:$M$33,'TH T.ứng+thu+chi PABT'!D9,'9. Thu, chi PABT'!$F$11:$F$33,"",'9. Thu, chi PABT'!$R$11:$R$33,"&gt;="&amp;'TH T.ứng+thu+chi PABT'!$D$5,'9. Thu, chi PABT'!$R$11:$R$33,"&lt;="&amp;'TH T.ứng+thu+chi PABT'!$D$6,'9. Thu, chi PABT'!$B$11:$B$33,"&lt;&gt;Tạm ứng",'9. Thu, chi PABT'!$D$11:$D$33,"&lt;&gt;Tạm ứng")</f>
        <v>0</v>
      </c>
      <c r="J9" s="152">
        <f>SUMIFS('9. Thu, chi PABT'!$T$11:$T$33,'9. Thu, chi PABT'!$B$11:$B$33,'TH T.ứng+thu+chi PABT'!B9,'9. Thu, chi PABT'!$J$11:$J$33,'TH T.ứng+thu+chi PABT'!C9,'9. Thu, chi PABT'!$M$11:$M$33,'TH T.ứng+thu+chi PABT'!D9,'9. Thu, chi PABT'!$F$11:$F$33,"",'9. Thu, chi PABT'!$R$11:$R$33,"&gt;="&amp;'TH T.ứng+thu+chi PABT'!$D$5,'9. Thu, chi PABT'!$R$11:$R$33,"&lt;="&amp;'TH T.ứng+thu+chi PABT'!$D$6,'9. Thu, chi PABT'!$B$11:$B$33,"Tạm ứng")
+SUMIFS('9. Thu, chi PABT'!$T$11:$T$33,'9. Thu, chi PABT'!$B$11:$B$33,'TH T.ứng+thu+chi PABT'!B9,'9. Thu, chi PABT'!$J$11:$J$33,'TH T.ứng+thu+chi PABT'!C9,'9. Thu, chi PABT'!$M$11:$M$33,'TH T.ứng+thu+chi PABT'!D9,'9. Thu, chi PABT'!$F$11:$F$33,"",'9. Thu, chi PABT'!$R$11:$R$33,"&gt;="&amp;'TH T.ứng+thu+chi PABT'!$D$5,'9. Thu, chi PABT'!$R$11:$R$33,"&lt;="&amp;'TH T.ứng+thu+chi PABT'!$D$6,'9. Thu, chi PABT'!$D$11:$D$33,"Tạm ứng")</f>
        <v>0</v>
      </c>
      <c r="K9" s="152">
        <f>SUMIFS('9. Thu, chi PABT'!$U$11:$U$33,'9. Thu, chi PABT'!$B$11:$B$33,'TH T.ứng+thu+chi PABT'!B9,'9. Thu, chi PABT'!$J$11:$J$33,'TH T.ứng+thu+chi PABT'!C9,'9. Thu, chi PABT'!$M$11:$M$33,'TH T.ứng+thu+chi PABT'!D9,'9. Thu, chi PABT'!$F$11:$F$33,"",'9. Thu, chi PABT'!$R$11:$R$33,"&gt;="&amp;'TH T.ứng+thu+chi PABT'!$D$5,'9. Thu, chi PABT'!$R$11:$R$33,"&lt;="&amp;'TH T.ứng+thu+chi PABT'!$D$6)</f>
        <v>0</v>
      </c>
      <c r="L9" s="130">
        <f>(I9+J9)-K9</f>
        <v>0</v>
      </c>
      <c r="M9" s="130">
        <f>E9+I9</f>
        <v>0</v>
      </c>
      <c r="N9" s="130">
        <f t="shared" ref="N9:P9" si="0">F9+J9</f>
        <v>100000000</v>
      </c>
      <c r="O9" s="130">
        <f t="shared" si="0"/>
        <v>0</v>
      </c>
      <c r="P9" s="130">
        <f t="shared" si="0"/>
        <v>100000000</v>
      </c>
    </row>
    <row r="10" spans="1:16" x14ac:dyDescent="0.25">
      <c r="A10" s="88"/>
      <c r="B10" s="88">
        <v>110</v>
      </c>
      <c r="C10" s="88" t="str">
        <v>Nguyễn Đức Anh</v>
      </c>
      <c r="D10" s="88" t="str">
        <v>123A</v>
      </c>
      <c r="E10" s="152">
        <f>SUMIFS('9. Thu, chi PABT'!$T$11:$T$33,'9. Thu, chi PABT'!$B$11:$B$33,'TH T.ứng+thu+chi PABT'!B10,'9. Thu, chi PABT'!$J$11:$J$33,'TH T.ứng+thu+chi PABT'!C10,'9. Thu, chi PABT'!$M$11:$M$33,'TH T.ứng+thu+chi PABT'!D10,'9. Thu, chi PABT'!$R$11:$R$33,"&lt;"&amp;'TH T.ứng+thu+chi PABT'!$D$5,'9. Thu, chi PABT'!$B$11:$B$33,"&lt;&gt;Tạm ứng",'9. Thu, chi PABT'!$D$11:$D$33,"&lt;&gt;Tạm ứng",'9. Thu, chi PABT'!$F$11:$F$33,"")</f>
        <v>200000000</v>
      </c>
      <c r="F10" s="152">
        <f>SUMIFS('9. Thu, chi PABT'!$T$11:$T$33,'9. Thu, chi PABT'!$B$11:$B$33,'TH T.ứng+thu+chi PABT'!B10,'9. Thu, chi PABT'!$J$11:$J$33,'TH T.ứng+thu+chi PABT'!C10,'9. Thu, chi PABT'!$M$11:$M$33,'TH T.ứng+thu+chi PABT'!D10,'9. Thu, chi PABT'!$R$11:$R$33,"&lt;"&amp;'TH T.ứng+thu+chi PABT'!$D$5,'9. Thu, chi PABT'!$B$11:$B$33,"Tạm ứng",'9. Thu, chi PABT'!$F$11:$F$33,"")
+SUMIFS('9. Thu, chi PABT'!$T$11:$T$33,'9. Thu, chi PABT'!$B$11:$B$33,'TH T.ứng+thu+chi PABT'!B10,'9. Thu, chi PABT'!$J$11:$J$33,'TH T.ứng+thu+chi PABT'!C10,'9. Thu, chi PABT'!$M$11:$M$33,'TH T.ứng+thu+chi PABT'!D10,'9. Thu, chi PABT'!$R$11:$R$33,"&lt;"&amp;'TH T.ứng+thu+chi PABT'!$D$5,'9. Thu, chi PABT'!$D$11:$D$33,"Tạm ứng",'9. Thu, chi PABT'!$F$11:$F$33,"")</f>
        <v>300000000</v>
      </c>
      <c r="G10" s="152">
        <f>SUMIFS('9. Thu, chi PABT'!$U$11:$U$33,'9. Thu, chi PABT'!$B$11:$B$33,'TH T.ứng+thu+chi PABT'!B10,'9. Thu, chi PABT'!$J$11:$J$33,'TH T.ứng+thu+chi PABT'!C10,'9. Thu, chi PABT'!$M$11:$M$33,'TH T.ứng+thu+chi PABT'!D10,'9. Thu, chi PABT'!$F$11:$F$33,"",'9. Thu, chi PABT'!$R$11:$R$33,"&lt;"&amp;'TH T.ứng+thu+chi PABT'!$D$5)</f>
        <v>0</v>
      </c>
      <c r="H10" s="130">
        <f t="shared" ref="H10:H17" si="1">(E10+F10)-G10</f>
        <v>500000000</v>
      </c>
      <c r="I10" s="152">
        <f>SUMIFS('9. Thu, chi PABT'!$T$11:$T$33,'9. Thu, chi PABT'!$B$11:$B$33,'TH T.ứng+thu+chi PABT'!B10,'9. Thu, chi PABT'!$J$11:$J$33,'TH T.ứng+thu+chi PABT'!C10,'9. Thu, chi PABT'!$M$11:$M$33,'TH T.ứng+thu+chi PABT'!D10,'9. Thu, chi PABT'!$F$11:$F$33,"",'9. Thu, chi PABT'!$R$11:$R$33,"&gt;="&amp;'TH T.ứng+thu+chi PABT'!$D$5,'9. Thu, chi PABT'!$R$11:$R$33,"&lt;="&amp;'TH T.ứng+thu+chi PABT'!$D$6,'9. Thu, chi PABT'!$B$11:$B$33,"&lt;&gt;Tạm ứng",'9. Thu, chi PABT'!$D$11:$D$33,"&lt;&gt;Tạm ứng")</f>
        <v>0</v>
      </c>
      <c r="J10" s="152">
        <f>SUMIFS('9. Thu, chi PABT'!$T$11:$T$33,'9. Thu, chi PABT'!$B$11:$B$33,'TH T.ứng+thu+chi PABT'!B10,'9. Thu, chi PABT'!$J$11:$J$33,'TH T.ứng+thu+chi PABT'!C10,'9. Thu, chi PABT'!$M$11:$M$33,'TH T.ứng+thu+chi PABT'!D10,'9. Thu, chi PABT'!$F$11:$F$33,"",'9. Thu, chi PABT'!$R$11:$R$33,"&gt;="&amp;'TH T.ứng+thu+chi PABT'!$D$5,'9. Thu, chi PABT'!$R$11:$R$33,"&lt;="&amp;'TH T.ứng+thu+chi PABT'!$D$6,'9. Thu, chi PABT'!$B$11:$B$33,"Tạm ứng")
+SUMIFS('9. Thu, chi PABT'!$T$11:$T$33,'9. Thu, chi PABT'!$B$11:$B$33,'TH T.ứng+thu+chi PABT'!B10,'9. Thu, chi PABT'!$J$11:$J$33,'TH T.ứng+thu+chi PABT'!C10,'9. Thu, chi PABT'!$M$11:$M$33,'TH T.ứng+thu+chi PABT'!D10,'9. Thu, chi PABT'!$F$11:$F$33,"",'9. Thu, chi PABT'!$R$11:$R$33,"&gt;="&amp;'TH T.ứng+thu+chi PABT'!$D$5,'9. Thu, chi PABT'!$R$11:$R$33,"&lt;="&amp;'TH T.ứng+thu+chi PABT'!$D$6,'9. Thu, chi PABT'!$D$11:$D$33,"Tạm ứng")</f>
        <v>0</v>
      </c>
      <c r="K10" s="152">
        <f>SUMIFS('9. Thu, chi PABT'!$U$11:$U$33,'9. Thu, chi PABT'!$B$11:$B$33,'TH T.ứng+thu+chi PABT'!B10,'9. Thu, chi PABT'!$J$11:$J$33,'TH T.ứng+thu+chi PABT'!C10,'9. Thu, chi PABT'!$M$11:$M$33,'TH T.ứng+thu+chi PABT'!D10,'9. Thu, chi PABT'!$F$11:$F$33,"",'9. Thu, chi PABT'!$R$11:$R$33,"&gt;="&amp;'TH T.ứng+thu+chi PABT'!$D$5,'9. Thu, chi PABT'!$R$11:$R$33,"&lt;="&amp;'TH T.ứng+thu+chi PABT'!$D$6)</f>
        <v>0</v>
      </c>
      <c r="L10" s="130">
        <f t="shared" ref="L10:L17" si="2">(I10+J10)-K10</f>
        <v>0</v>
      </c>
      <c r="M10" s="130">
        <f t="shared" ref="M10:M17" si="3">E10+I10</f>
        <v>200000000</v>
      </c>
      <c r="N10" s="130">
        <f t="shared" ref="N10:N17" si="4">F10+J10</f>
        <v>300000000</v>
      </c>
      <c r="O10" s="130">
        <f t="shared" ref="O10:O17" si="5">G10+K10</f>
        <v>0</v>
      </c>
      <c r="P10" s="130">
        <f t="shared" ref="P10:P17" si="6">H10+L10</f>
        <v>500000000</v>
      </c>
    </row>
    <row r="11" spans="1:16" x14ac:dyDescent="0.25">
      <c r="A11" s="88"/>
      <c r="B11" s="88">
        <v>120</v>
      </c>
      <c r="C11" s="88" t="str">
        <v>Nguyễn Đức Anh</v>
      </c>
      <c r="D11" s="88" t="str">
        <v>123A</v>
      </c>
      <c r="E11" s="152">
        <f>SUMIFS('9. Thu, chi PABT'!$T$11:$T$33,'9. Thu, chi PABT'!$B$11:$B$33,'TH T.ứng+thu+chi PABT'!B11,'9. Thu, chi PABT'!$J$11:$J$33,'TH T.ứng+thu+chi PABT'!C11,'9. Thu, chi PABT'!$M$11:$M$33,'TH T.ứng+thu+chi PABT'!D11,'9. Thu, chi PABT'!$R$11:$R$33,"&lt;"&amp;'TH T.ứng+thu+chi PABT'!$D$5,'9. Thu, chi PABT'!$B$11:$B$33,"&lt;&gt;Tạm ứng",'9. Thu, chi PABT'!$D$11:$D$33,"&lt;&gt;Tạm ứng",'9. Thu, chi PABT'!$F$11:$F$33,"")</f>
        <v>900000000</v>
      </c>
      <c r="F11" s="152">
        <f>SUMIFS('9. Thu, chi PABT'!$T$11:$T$33,'9. Thu, chi PABT'!$B$11:$B$33,'TH T.ứng+thu+chi PABT'!B11,'9. Thu, chi PABT'!$J$11:$J$33,'TH T.ứng+thu+chi PABT'!C11,'9. Thu, chi PABT'!$M$11:$M$33,'TH T.ứng+thu+chi PABT'!D11,'9. Thu, chi PABT'!$R$11:$R$33,"&lt;"&amp;'TH T.ứng+thu+chi PABT'!$D$5,'9. Thu, chi PABT'!$B$11:$B$33,"Tạm ứng",'9. Thu, chi PABT'!$F$11:$F$33,"")
+SUMIFS('9. Thu, chi PABT'!$T$11:$T$33,'9. Thu, chi PABT'!$B$11:$B$33,'TH T.ứng+thu+chi PABT'!B11,'9. Thu, chi PABT'!$J$11:$J$33,'TH T.ứng+thu+chi PABT'!C11,'9. Thu, chi PABT'!$M$11:$M$33,'TH T.ứng+thu+chi PABT'!D11,'9. Thu, chi PABT'!$R$11:$R$33,"&lt;"&amp;'TH T.ứng+thu+chi PABT'!$D$5,'9. Thu, chi PABT'!$D$11:$D$33,"Tạm ứng",'9. Thu, chi PABT'!$F$11:$F$33,"")</f>
        <v>0</v>
      </c>
      <c r="G11" s="152">
        <f>SUMIFS('9. Thu, chi PABT'!$U$11:$U$33,'9. Thu, chi PABT'!$B$11:$B$33,'TH T.ứng+thu+chi PABT'!B11,'9. Thu, chi PABT'!$J$11:$J$33,'TH T.ứng+thu+chi PABT'!C11,'9. Thu, chi PABT'!$M$11:$M$33,'TH T.ứng+thu+chi PABT'!D11,'9. Thu, chi PABT'!$F$11:$F$33,"",'9. Thu, chi PABT'!$R$11:$R$33,"&lt;"&amp;'TH T.ứng+thu+chi PABT'!$D$5)</f>
        <v>0</v>
      </c>
      <c r="H11" s="130">
        <f t="shared" si="1"/>
        <v>900000000</v>
      </c>
      <c r="I11" s="152">
        <f>SUMIFS('9. Thu, chi PABT'!$T$11:$T$33,'9. Thu, chi PABT'!$B$11:$B$33,'TH T.ứng+thu+chi PABT'!B11,'9. Thu, chi PABT'!$J$11:$J$33,'TH T.ứng+thu+chi PABT'!C11,'9. Thu, chi PABT'!$M$11:$M$33,'TH T.ứng+thu+chi PABT'!D11,'9. Thu, chi PABT'!$F$11:$F$33,"",'9. Thu, chi PABT'!$R$11:$R$33,"&gt;="&amp;'TH T.ứng+thu+chi PABT'!$D$5,'9. Thu, chi PABT'!$R$11:$R$33,"&lt;="&amp;'TH T.ứng+thu+chi PABT'!$D$6,'9. Thu, chi PABT'!$B$11:$B$33,"&lt;&gt;Tạm ứng",'9. Thu, chi PABT'!$D$11:$D$33,"&lt;&gt;Tạm ứng")</f>
        <v>0</v>
      </c>
      <c r="J11" s="152">
        <f>SUMIFS('9. Thu, chi PABT'!$T$11:$T$33,'9. Thu, chi PABT'!$B$11:$B$33,'TH T.ứng+thu+chi PABT'!B11,'9. Thu, chi PABT'!$J$11:$J$33,'TH T.ứng+thu+chi PABT'!C11,'9. Thu, chi PABT'!$M$11:$M$33,'TH T.ứng+thu+chi PABT'!D11,'9. Thu, chi PABT'!$F$11:$F$33,"",'9. Thu, chi PABT'!$R$11:$R$33,"&gt;="&amp;'TH T.ứng+thu+chi PABT'!$D$5,'9. Thu, chi PABT'!$R$11:$R$33,"&lt;="&amp;'TH T.ứng+thu+chi PABT'!$D$6,'9. Thu, chi PABT'!$B$11:$B$33,"Tạm ứng")
+SUMIFS('9. Thu, chi PABT'!$T$11:$T$33,'9. Thu, chi PABT'!$B$11:$B$33,'TH T.ứng+thu+chi PABT'!B11,'9. Thu, chi PABT'!$J$11:$J$33,'TH T.ứng+thu+chi PABT'!C11,'9. Thu, chi PABT'!$M$11:$M$33,'TH T.ứng+thu+chi PABT'!D11,'9. Thu, chi PABT'!$F$11:$F$33,"",'9. Thu, chi PABT'!$R$11:$R$33,"&gt;="&amp;'TH T.ứng+thu+chi PABT'!$D$5,'9. Thu, chi PABT'!$R$11:$R$33,"&lt;="&amp;'TH T.ứng+thu+chi PABT'!$D$6,'9. Thu, chi PABT'!$D$11:$D$33,"Tạm ứng")</f>
        <v>0</v>
      </c>
      <c r="K11" s="152">
        <f>SUMIFS('9. Thu, chi PABT'!$U$11:$U$33,'9. Thu, chi PABT'!$B$11:$B$33,'TH T.ứng+thu+chi PABT'!B11,'9. Thu, chi PABT'!$J$11:$J$33,'TH T.ứng+thu+chi PABT'!C11,'9. Thu, chi PABT'!$M$11:$M$33,'TH T.ứng+thu+chi PABT'!D11,'9. Thu, chi PABT'!$F$11:$F$33,"",'9. Thu, chi PABT'!$R$11:$R$33,"&gt;="&amp;'TH T.ứng+thu+chi PABT'!$D$5,'9. Thu, chi PABT'!$R$11:$R$33,"&lt;="&amp;'TH T.ứng+thu+chi PABT'!$D$6)</f>
        <v>0</v>
      </c>
      <c r="L11" s="130">
        <f t="shared" si="2"/>
        <v>0</v>
      </c>
      <c r="M11" s="130">
        <f t="shared" si="3"/>
        <v>900000000</v>
      </c>
      <c r="N11" s="130">
        <f t="shared" si="4"/>
        <v>0</v>
      </c>
      <c r="O11" s="130">
        <f t="shared" si="5"/>
        <v>0</v>
      </c>
      <c r="P11" s="130">
        <f t="shared" si="6"/>
        <v>900000000</v>
      </c>
    </row>
    <row r="12" spans="1:16" x14ac:dyDescent="0.25">
      <c r="A12" s="88"/>
      <c r="B12" s="88">
        <v>130</v>
      </c>
      <c r="C12" s="88" t="str">
        <v>Nguyễn Đức Anh</v>
      </c>
      <c r="D12" s="88" t="str">
        <v>123A</v>
      </c>
      <c r="E12" s="152">
        <f>SUMIFS('9. Thu, chi PABT'!$T$11:$T$33,'9. Thu, chi PABT'!$B$11:$B$33,'TH T.ứng+thu+chi PABT'!B12,'9. Thu, chi PABT'!$J$11:$J$33,'TH T.ứng+thu+chi PABT'!C12,'9. Thu, chi PABT'!$M$11:$M$33,'TH T.ứng+thu+chi PABT'!D12,'9. Thu, chi PABT'!$R$11:$R$33,"&lt;"&amp;'TH T.ứng+thu+chi PABT'!$D$5,'9. Thu, chi PABT'!$B$11:$B$33,"&lt;&gt;Tạm ứng",'9. Thu, chi PABT'!$D$11:$D$33,"&lt;&gt;Tạm ứng",'9. Thu, chi PABT'!$F$11:$F$33,"")</f>
        <v>2100000000</v>
      </c>
      <c r="F12" s="152">
        <f>SUMIFS('9. Thu, chi PABT'!$T$11:$T$33,'9. Thu, chi PABT'!$B$11:$B$33,'TH T.ứng+thu+chi PABT'!B12,'9. Thu, chi PABT'!$J$11:$J$33,'TH T.ứng+thu+chi PABT'!C12,'9. Thu, chi PABT'!$M$11:$M$33,'TH T.ứng+thu+chi PABT'!D12,'9. Thu, chi PABT'!$R$11:$R$33,"&lt;"&amp;'TH T.ứng+thu+chi PABT'!$D$5,'9. Thu, chi PABT'!$B$11:$B$33,"Tạm ứng",'9. Thu, chi PABT'!$F$11:$F$33,"")
+SUMIFS('9. Thu, chi PABT'!$T$11:$T$33,'9. Thu, chi PABT'!$B$11:$B$33,'TH T.ứng+thu+chi PABT'!B12,'9. Thu, chi PABT'!$J$11:$J$33,'TH T.ứng+thu+chi PABT'!C12,'9. Thu, chi PABT'!$M$11:$M$33,'TH T.ứng+thu+chi PABT'!D12,'9. Thu, chi PABT'!$R$11:$R$33,"&lt;"&amp;'TH T.ứng+thu+chi PABT'!$D$5,'9. Thu, chi PABT'!$D$11:$D$33,"Tạm ứng",'9. Thu, chi PABT'!$F$11:$F$33,"")</f>
        <v>0</v>
      </c>
      <c r="G12" s="152">
        <f>SUMIFS('9. Thu, chi PABT'!$U$11:$U$33,'9. Thu, chi PABT'!$B$11:$B$33,'TH T.ứng+thu+chi PABT'!B12,'9. Thu, chi PABT'!$J$11:$J$33,'TH T.ứng+thu+chi PABT'!C12,'9. Thu, chi PABT'!$M$11:$M$33,'TH T.ứng+thu+chi PABT'!D12,'9. Thu, chi PABT'!$F$11:$F$33,"",'9. Thu, chi PABT'!$R$11:$R$33,"&lt;"&amp;'TH T.ứng+thu+chi PABT'!$D$5)</f>
        <v>0</v>
      </c>
      <c r="H12" s="130">
        <f t="shared" si="1"/>
        <v>2100000000</v>
      </c>
      <c r="I12" s="152">
        <f>SUMIFS('9. Thu, chi PABT'!$T$11:$T$33,'9. Thu, chi PABT'!$B$11:$B$33,'TH T.ứng+thu+chi PABT'!B12,'9. Thu, chi PABT'!$J$11:$J$33,'TH T.ứng+thu+chi PABT'!C12,'9. Thu, chi PABT'!$M$11:$M$33,'TH T.ứng+thu+chi PABT'!D12,'9. Thu, chi PABT'!$F$11:$F$33,"",'9. Thu, chi PABT'!$R$11:$R$33,"&gt;="&amp;'TH T.ứng+thu+chi PABT'!$D$5,'9. Thu, chi PABT'!$R$11:$R$33,"&lt;="&amp;'TH T.ứng+thu+chi PABT'!$D$6,'9. Thu, chi PABT'!$B$11:$B$33,"&lt;&gt;Tạm ứng",'9. Thu, chi PABT'!$D$11:$D$33,"&lt;&gt;Tạm ứng")</f>
        <v>0</v>
      </c>
      <c r="J12" s="152">
        <f>SUMIFS('9. Thu, chi PABT'!$T$11:$T$33,'9. Thu, chi PABT'!$B$11:$B$33,'TH T.ứng+thu+chi PABT'!B12,'9. Thu, chi PABT'!$J$11:$J$33,'TH T.ứng+thu+chi PABT'!C12,'9. Thu, chi PABT'!$M$11:$M$33,'TH T.ứng+thu+chi PABT'!D12,'9. Thu, chi PABT'!$F$11:$F$33,"",'9. Thu, chi PABT'!$R$11:$R$33,"&gt;="&amp;'TH T.ứng+thu+chi PABT'!$D$5,'9. Thu, chi PABT'!$R$11:$R$33,"&lt;="&amp;'TH T.ứng+thu+chi PABT'!$D$6,'9. Thu, chi PABT'!$B$11:$B$33,"Tạm ứng")
+SUMIFS('9. Thu, chi PABT'!$T$11:$T$33,'9. Thu, chi PABT'!$B$11:$B$33,'TH T.ứng+thu+chi PABT'!B12,'9. Thu, chi PABT'!$J$11:$J$33,'TH T.ứng+thu+chi PABT'!C12,'9. Thu, chi PABT'!$M$11:$M$33,'TH T.ứng+thu+chi PABT'!D12,'9. Thu, chi PABT'!$F$11:$F$33,"",'9. Thu, chi PABT'!$R$11:$R$33,"&gt;="&amp;'TH T.ứng+thu+chi PABT'!$D$5,'9. Thu, chi PABT'!$R$11:$R$33,"&lt;="&amp;'TH T.ứng+thu+chi PABT'!$D$6,'9. Thu, chi PABT'!$D$11:$D$33,"Tạm ứng")</f>
        <v>0</v>
      </c>
      <c r="K12" s="152">
        <f>SUMIFS('9. Thu, chi PABT'!$U$11:$U$33,'9. Thu, chi PABT'!$B$11:$B$33,'TH T.ứng+thu+chi PABT'!B12,'9. Thu, chi PABT'!$J$11:$J$33,'TH T.ứng+thu+chi PABT'!C12,'9. Thu, chi PABT'!$M$11:$M$33,'TH T.ứng+thu+chi PABT'!D12,'9. Thu, chi PABT'!$F$11:$F$33,"",'9. Thu, chi PABT'!$R$11:$R$33,"&gt;="&amp;'TH T.ứng+thu+chi PABT'!$D$5,'9. Thu, chi PABT'!$R$11:$R$33,"&lt;="&amp;'TH T.ứng+thu+chi PABT'!$D$6)</f>
        <v>0</v>
      </c>
      <c r="L12" s="130">
        <f t="shared" si="2"/>
        <v>0</v>
      </c>
      <c r="M12" s="130">
        <f t="shared" si="3"/>
        <v>2100000000</v>
      </c>
      <c r="N12" s="130">
        <f t="shared" si="4"/>
        <v>0</v>
      </c>
      <c r="O12" s="130">
        <f t="shared" si="5"/>
        <v>0</v>
      </c>
      <c r="P12" s="130">
        <f t="shared" si="6"/>
        <v>2100000000</v>
      </c>
    </row>
    <row r="13" spans="1:16" x14ac:dyDescent="0.25">
      <c r="A13" s="88"/>
      <c r="B13" s="88">
        <v>140</v>
      </c>
      <c r="C13" s="88" t="str">
        <v>Nguyễn Đức Anh</v>
      </c>
      <c r="D13" s="88" t="str">
        <v>123A</v>
      </c>
      <c r="E13" s="152">
        <f>SUMIFS('9. Thu, chi PABT'!$T$11:$T$33,'9. Thu, chi PABT'!$B$11:$B$33,'TH T.ứng+thu+chi PABT'!B13,'9. Thu, chi PABT'!$J$11:$J$33,'TH T.ứng+thu+chi PABT'!C13,'9. Thu, chi PABT'!$M$11:$M$33,'TH T.ứng+thu+chi PABT'!D13,'9. Thu, chi PABT'!$R$11:$R$33,"&lt;"&amp;'TH T.ứng+thu+chi PABT'!$D$5,'9. Thu, chi PABT'!$B$11:$B$33,"&lt;&gt;Tạm ứng",'9. Thu, chi PABT'!$D$11:$D$33,"&lt;&gt;Tạm ứng",'9. Thu, chi PABT'!$F$11:$F$33,"")</f>
        <v>1000000000</v>
      </c>
      <c r="F13" s="152">
        <f>SUMIFS('9. Thu, chi PABT'!$T$11:$T$33,'9. Thu, chi PABT'!$B$11:$B$33,'TH T.ứng+thu+chi PABT'!B13,'9. Thu, chi PABT'!$J$11:$J$33,'TH T.ứng+thu+chi PABT'!C13,'9. Thu, chi PABT'!$M$11:$M$33,'TH T.ứng+thu+chi PABT'!D13,'9. Thu, chi PABT'!$R$11:$R$33,"&lt;"&amp;'TH T.ứng+thu+chi PABT'!$D$5,'9. Thu, chi PABT'!$B$11:$B$33,"Tạm ứng",'9. Thu, chi PABT'!$F$11:$F$33,"")
+SUMIFS('9. Thu, chi PABT'!$T$11:$T$33,'9. Thu, chi PABT'!$B$11:$B$33,'TH T.ứng+thu+chi PABT'!B13,'9. Thu, chi PABT'!$J$11:$J$33,'TH T.ứng+thu+chi PABT'!C13,'9. Thu, chi PABT'!$M$11:$M$33,'TH T.ứng+thu+chi PABT'!D13,'9. Thu, chi PABT'!$R$11:$R$33,"&lt;"&amp;'TH T.ứng+thu+chi PABT'!$D$5,'9. Thu, chi PABT'!$D$11:$D$33,"Tạm ứng",'9. Thu, chi PABT'!$F$11:$F$33,"")</f>
        <v>0</v>
      </c>
      <c r="G13" s="152">
        <f>SUMIFS('9. Thu, chi PABT'!$U$11:$U$33,'9. Thu, chi PABT'!$B$11:$B$33,'TH T.ứng+thu+chi PABT'!B13,'9. Thu, chi PABT'!$J$11:$J$33,'TH T.ứng+thu+chi PABT'!C13,'9. Thu, chi PABT'!$M$11:$M$33,'TH T.ứng+thu+chi PABT'!D13,'9. Thu, chi PABT'!$F$11:$F$33,"",'9. Thu, chi PABT'!$R$11:$R$33,"&lt;"&amp;'TH T.ứng+thu+chi PABT'!$D$5)</f>
        <v>100000000</v>
      </c>
      <c r="H13" s="130">
        <f t="shared" si="1"/>
        <v>900000000</v>
      </c>
      <c r="I13" s="152">
        <f>SUMIFS('9. Thu, chi PABT'!$T$11:$T$33,'9. Thu, chi PABT'!$B$11:$B$33,'TH T.ứng+thu+chi PABT'!B13,'9. Thu, chi PABT'!$J$11:$J$33,'TH T.ứng+thu+chi PABT'!C13,'9. Thu, chi PABT'!$M$11:$M$33,'TH T.ứng+thu+chi PABT'!D13,'9. Thu, chi PABT'!$F$11:$F$33,"",'9. Thu, chi PABT'!$R$11:$R$33,"&gt;="&amp;'TH T.ứng+thu+chi PABT'!$D$5,'9. Thu, chi PABT'!$R$11:$R$33,"&lt;="&amp;'TH T.ứng+thu+chi PABT'!$D$6,'9. Thu, chi PABT'!$B$11:$B$33,"&lt;&gt;Tạm ứng",'9. Thu, chi PABT'!$D$11:$D$33,"&lt;&gt;Tạm ứng")</f>
        <v>0</v>
      </c>
      <c r="J13" s="152">
        <f>SUMIFS('9. Thu, chi PABT'!$T$11:$T$33,'9. Thu, chi PABT'!$B$11:$B$33,'TH T.ứng+thu+chi PABT'!B13,'9. Thu, chi PABT'!$J$11:$J$33,'TH T.ứng+thu+chi PABT'!C13,'9. Thu, chi PABT'!$M$11:$M$33,'TH T.ứng+thu+chi PABT'!D13,'9. Thu, chi PABT'!$F$11:$F$33,"",'9. Thu, chi PABT'!$R$11:$R$33,"&gt;="&amp;'TH T.ứng+thu+chi PABT'!$D$5,'9. Thu, chi PABT'!$R$11:$R$33,"&lt;="&amp;'TH T.ứng+thu+chi PABT'!$D$6,'9. Thu, chi PABT'!$B$11:$B$33,"Tạm ứng")
+SUMIFS('9. Thu, chi PABT'!$T$11:$T$33,'9. Thu, chi PABT'!$B$11:$B$33,'TH T.ứng+thu+chi PABT'!B13,'9. Thu, chi PABT'!$J$11:$J$33,'TH T.ứng+thu+chi PABT'!C13,'9. Thu, chi PABT'!$M$11:$M$33,'TH T.ứng+thu+chi PABT'!D13,'9. Thu, chi PABT'!$F$11:$F$33,"",'9. Thu, chi PABT'!$R$11:$R$33,"&gt;="&amp;'TH T.ứng+thu+chi PABT'!$D$5,'9. Thu, chi PABT'!$R$11:$R$33,"&lt;="&amp;'TH T.ứng+thu+chi PABT'!$D$6,'9. Thu, chi PABT'!$D$11:$D$33,"Tạm ứng")</f>
        <v>0</v>
      </c>
      <c r="K13" s="152">
        <f>SUMIFS('9. Thu, chi PABT'!$U$11:$U$33,'9. Thu, chi PABT'!$B$11:$B$33,'TH T.ứng+thu+chi PABT'!B13,'9. Thu, chi PABT'!$J$11:$J$33,'TH T.ứng+thu+chi PABT'!C13,'9. Thu, chi PABT'!$M$11:$M$33,'TH T.ứng+thu+chi PABT'!D13,'9. Thu, chi PABT'!$F$11:$F$33,"",'9. Thu, chi PABT'!$R$11:$R$33,"&gt;="&amp;'TH T.ứng+thu+chi PABT'!$D$5,'9. Thu, chi PABT'!$R$11:$R$33,"&lt;="&amp;'TH T.ứng+thu+chi PABT'!$D$6)</f>
        <v>0</v>
      </c>
      <c r="L13" s="130">
        <f t="shared" si="2"/>
        <v>0</v>
      </c>
      <c r="M13" s="130">
        <f t="shared" si="3"/>
        <v>1000000000</v>
      </c>
      <c r="N13" s="130">
        <f t="shared" si="4"/>
        <v>0</v>
      </c>
      <c r="O13" s="130">
        <f t="shared" si="5"/>
        <v>100000000</v>
      </c>
      <c r="P13" s="130">
        <f t="shared" si="6"/>
        <v>900000000</v>
      </c>
    </row>
    <row r="14" spans="1:16" x14ac:dyDescent="0.25">
      <c r="A14" s="88"/>
      <c r="B14" s="88"/>
      <c r="C14" s="88"/>
      <c r="D14" s="88"/>
      <c r="E14" s="152">
        <f>SUMIFS('9. Thu, chi PABT'!$T$11:$T$33,'9. Thu, chi PABT'!$B$11:$B$33,'TH T.ứng+thu+chi PABT'!B14,'9. Thu, chi PABT'!$J$11:$J$33,'TH T.ứng+thu+chi PABT'!C14,'9. Thu, chi PABT'!$M$11:$M$33,'TH T.ứng+thu+chi PABT'!D14,'9. Thu, chi PABT'!$R$11:$R$33,"&lt;"&amp;'TH T.ứng+thu+chi PABT'!$D$5,'9. Thu, chi PABT'!$B$11:$B$33,"&lt;&gt;Tạm ứng",'9. Thu, chi PABT'!$D$11:$D$33,"&lt;&gt;Tạm ứng",'9. Thu, chi PABT'!$F$11:$F$33,"")</f>
        <v>0</v>
      </c>
      <c r="F14" s="152">
        <f>SUMIFS('9. Thu, chi PABT'!$T$11:$T$33,'9. Thu, chi PABT'!$B$11:$B$33,'TH T.ứng+thu+chi PABT'!B14,'9. Thu, chi PABT'!$J$11:$J$33,'TH T.ứng+thu+chi PABT'!C14,'9. Thu, chi PABT'!$M$11:$M$33,'TH T.ứng+thu+chi PABT'!D14,'9. Thu, chi PABT'!$R$11:$R$33,"&lt;"&amp;'TH T.ứng+thu+chi PABT'!$D$5,'9. Thu, chi PABT'!$B$11:$B$33,"Tạm ứng",'9. Thu, chi PABT'!$F$11:$F$33,"")
+SUMIFS('9. Thu, chi PABT'!$T$11:$T$33,'9. Thu, chi PABT'!$B$11:$B$33,'TH T.ứng+thu+chi PABT'!B14,'9. Thu, chi PABT'!$J$11:$J$33,'TH T.ứng+thu+chi PABT'!C14,'9. Thu, chi PABT'!$M$11:$M$33,'TH T.ứng+thu+chi PABT'!D14,'9. Thu, chi PABT'!$R$11:$R$33,"&lt;"&amp;'TH T.ứng+thu+chi PABT'!$D$5,'9. Thu, chi PABT'!$D$11:$D$33,"Tạm ứng",'9. Thu, chi PABT'!$F$11:$F$33,"")</f>
        <v>0</v>
      </c>
      <c r="G14" s="152">
        <f>SUMIFS('9. Thu, chi PABT'!$U$11:$U$33,'9. Thu, chi PABT'!$B$11:$B$33,'TH T.ứng+thu+chi PABT'!B14,'9. Thu, chi PABT'!$J$11:$J$33,'TH T.ứng+thu+chi PABT'!C14,'9. Thu, chi PABT'!$M$11:$M$33,'TH T.ứng+thu+chi PABT'!D14,'9. Thu, chi PABT'!$F$11:$F$33,"",'9. Thu, chi PABT'!$R$11:$R$33,"&lt;"&amp;'TH T.ứng+thu+chi PABT'!$D$5)</f>
        <v>0</v>
      </c>
      <c r="H14" s="130">
        <f t="shared" si="1"/>
        <v>0</v>
      </c>
      <c r="I14" s="152">
        <f>SUMIFS('9. Thu, chi PABT'!$T$11:$T$33,'9. Thu, chi PABT'!$B$11:$B$33,'TH T.ứng+thu+chi PABT'!B14,'9. Thu, chi PABT'!$J$11:$J$33,'TH T.ứng+thu+chi PABT'!C14,'9. Thu, chi PABT'!$M$11:$M$33,'TH T.ứng+thu+chi PABT'!D14,'9. Thu, chi PABT'!$F$11:$F$33,"",'9. Thu, chi PABT'!$R$11:$R$33,"&gt;="&amp;'TH T.ứng+thu+chi PABT'!$D$5,'9. Thu, chi PABT'!$R$11:$R$33,"&lt;="&amp;'TH T.ứng+thu+chi PABT'!$D$6,'9. Thu, chi PABT'!$B$11:$B$33,"&lt;&gt;Tạm ứng",'9. Thu, chi PABT'!$D$11:$D$33,"&lt;&gt;Tạm ứng")</f>
        <v>0</v>
      </c>
      <c r="J14" s="152">
        <f>SUMIFS('9. Thu, chi PABT'!$T$11:$T$33,'9. Thu, chi PABT'!$B$11:$B$33,'TH T.ứng+thu+chi PABT'!B14,'9. Thu, chi PABT'!$J$11:$J$33,'TH T.ứng+thu+chi PABT'!C14,'9. Thu, chi PABT'!$M$11:$M$33,'TH T.ứng+thu+chi PABT'!D14,'9. Thu, chi PABT'!$F$11:$F$33,"",'9. Thu, chi PABT'!$R$11:$R$33,"&gt;="&amp;'TH T.ứng+thu+chi PABT'!$D$5,'9. Thu, chi PABT'!$R$11:$R$33,"&lt;="&amp;'TH T.ứng+thu+chi PABT'!$D$6,'9. Thu, chi PABT'!$B$11:$B$33,"Tạm ứng")
+SUMIFS('9. Thu, chi PABT'!$T$11:$T$33,'9. Thu, chi PABT'!$B$11:$B$33,'TH T.ứng+thu+chi PABT'!B14,'9. Thu, chi PABT'!$J$11:$J$33,'TH T.ứng+thu+chi PABT'!C14,'9. Thu, chi PABT'!$M$11:$M$33,'TH T.ứng+thu+chi PABT'!D14,'9. Thu, chi PABT'!$F$11:$F$33,"",'9. Thu, chi PABT'!$R$11:$R$33,"&gt;="&amp;'TH T.ứng+thu+chi PABT'!$D$5,'9. Thu, chi PABT'!$R$11:$R$33,"&lt;="&amp;'TH T.ứng+thu+chi PABT'!$D$6,'9. Thu, chi PABT'!$D$11:$D$33,"Tạm ứng")</f>
        <v>0</v>
      </c>
      <c r="K14" s="152">
        <f>SUMIFS('9. Thu, chi PABT'!$U$11:$U$33,'9. Thu, chi PABT'!$B$11:$B$33,'TH T.ứng+thu+chi PABT'!B14,'9. Thu, chi PABT'!$J$11:$J$33,'TH T.ứng+thu+chi PABT'!C14,'9. Thu, chi PABT'!$M$11:$M$33,'TH T.ứng+thu+chi PABT'!D14,'9. Thu, chi PABT'!$F$11:$F$33,"",'9. Thu, chi PABT'!$R$11:$R$33,"&gt;="&amp;'TH T.ứng+thu+chi PABT'!$D$5,'9. Thu, chi PABT'!$R$11:$R$33,"&lt;="&amp;'TH T.ứng+thu+chi PABT'!$D$6)</f>
        <v>0</v>
      </c>
      <c r="L14" s="130">
        <f t="shared" si="2"/>
        <v>0</v>
      </c>
      <c r="M14" s="130">
        <f t="shared" si="3"/>
        <v>0</v>
      </c>
      <c r="N14" s="130">
        <f t="shared" si="4"/>
        <v>0</v>
      </c>
      <c r="O14" s="130">
        <f t="shared" si="5"/>
        <v>0</v>
      </c>
      <c r="P14" s="130">
        <f t="shared" si="6"/>
        <v>0</v>
      </c>
    </row>
    <row r="15" spans="1:16" x14ac:dyDescent="0.25">
      <c r="A15" s="88"/>
      <c r="B15" s="88"/>
      <c r="C15" s="88"/>
      <c r="D15" s="88"/>
      <c r="E15" s="152">
        <f>SUMIFS('9. Thu, chi PABT'!$T$11:$T$33,'9. Thu, chi PABT'!$B$11:$B$33,'TH T.ứng+thu+chi PABT'!B15,'9. Thu, chi PABT'!$J$11:$J$33,'TH T.ứng+thu+chi PABT'!C15,'9. Thu, chi PABT'!$M$11:$M$33,'TH T.ứng+thu+chi PABT'!D15,'9. Thu, chi PABT'!$R$11:$R$33,"&lt;"&amp;'TH T.ứng+thu+chi PABT'!$D$5,'9. Thu, chi PABT'!$B$11:$B$33,"&lt;&gt;Tạm ứng",'9. Thu, chi PABT'!$D$11:$D$33,"&lt;&gt;Tạm ứng",'9. Thu, chi PABT'!$F$11:$F$33,"")</f>
        <v>0</v>
      </c>
      <c r="F15" s="152">
        <f>SUMIFS('9. Thu, chi PABT'!$T$11:$T$33,'9. Thu, chi PABT'!$B$11:$B$33,'TH T.ứng+thu+chi PABT'!B15,'9. Thu, chi PABT'!$J$11:$J$33,'TH T.ứng+thu+chi PABT'!C15,'9. Thu, chi PABT'!$M$11:$M$33,'TH T.ứng+thu+chi PABT'!D15,'9. Thu, chi PABT'!$R$11:$R$33,"&lt;"&amp;'TH T.ứng+thu+chi PABT'!$D$5,'9. Thu, chi PABT'!$B$11:$B$33,"Tạm ứng",'9. Thu, chi PABT'!$F$11:$F$33,"")
+SUMIFS('9. Thu, chi PABT'!$T$11:$T$33,'9. Thu, chi PABT'!$B$11:$B$33,'TH T.ứng+thu+chi PABT'!B15,'9. Thu, chi PABT'!$J$11:$J$33,'TH T.ứng+thu+chi PABT'!C15,'9. Thu, chi PABT'!$M$11:$M$33,'TH T.ứng+thu+chi PABT'!D15,'9. Thu, chi PABT'!$R$11:$R$33,"&lt;"&amp;'TH T.ứng+thu+chi PABT'!$D$5,'9. Thu, chi PABT'!$D$11:$D$33,"Tạm ứng",'9. Thu, chi PABT'!$F$11:$F$33,"")</f>
        <v>0</v>
      </c>
      <c r="G15" s="152">
        <f>SUMIFS('9. Thu, chi PABT'!$U$11:$U$33,'9. Thu, chi PABT'!$B$11:$B$33,'TH T.ứng+thu+chi PABT'!B15,'9. Thu, chi PABT'!$J$11:$J$33,'TH T.ứng+thu+chi PABT'!C15,'9. Thu, chi PABT'!$M$11:$M$33,'TH T.ứng+thu+chi PABT'!D15,'9. Thu, chi PABT'!$F$11:$F$33,"",'9. Thu, chi PABT'!$R$11:$R$33,"&lt;"&amp;'TH T.ứng+thu+chi PABT'!$D$5)</f>
        <v>0</v>
      </c>
      <c r="H15" s="130">
        <f t="shared" si="1"/>
        <v>0</v>
      </c>
      <c r="I15" s="152">
        <f>SUMIFS('9. Thu, chi PABT'!$T$11:$T$33,'9. Thu, chi PABT'!$B$11:$B$33,'TH T.ứng+thu+chi PABT'!B15,'9. Thu, chi PABT'!$J$11:$J$33,'TH T.ứng+thu+chi PABT'!C15,'9. Thu, chi PABT'!$M$11:$M$33,'TH T.ứng+thu+chi PABT'!D15,'9. Thu, chi PABT'!$F$11:$F$33,"",'9. Thu, chi PABT'!$R$11:$R$33,"&gt;="&amp;'TH T.ứng+thu+chi PABT'!$D$5,'9. Thu, chi PABT'!$R$11:$R$33,"&lt;="&amp;'TH T.ứng+thu+chi PABT'!$D$6,'9. Thu, chi PABT'!$B$11:$B$33,"&lt;&gt;Tạm ứng",'9. Thu, chi PABT'!$D$11:$D$33,"&lt;&gt;Tạm ứng")</f>
        <v>0</v>
      </c>
      <c r="J15" s="152">
        <f>SUMIFS('9. Thu, chi PABT'!$T$11:$T$33,'9. Thu, chi PABT'!$B$11:$B$33,'TH T.ứng+thu+chi PABT'!B15,'9. Thu, chi PABT'!$J$11:$J$33,'TH T.ứng+thu+chi PABT'!C15,'9. Thu, chi PABT'!$M$11:$M$33,'TH T.ứng+thu+chi PABT'!D15,'9. Thu, chi PABT'!$F$11:$F$33,"",'9. Thu, chi PABT'!$R$11:$R$33,"&gt;="&amp;'TH T.ứng+thu+chi PABT'!$D$5,'9. Thu, chi PABT'!$R$11:$R$33,"&lt;="&amp;'TH T.ứng+thu+chi PABT'!$D$6,'9. Thu, chi PABT'!$B$11:$B$33,"Tạm ứng")
+SUMIFS('9. Thu, chi PABT'!$T$11:$T$33,'9. Thu, chi PABT'!$B$11:$B$33,'TH T.ứng+thu+chi PABT'!B15,'9. Thu, chi PABT'!$J$11:$J$33,'TH T.ứng+thu+chi PABT'!C15,'9. Thu, chi PABT'!$M$11:$M$33,'TH T.ứng+thu+chi PABT'!D15,'9. Thu, chi PABT'!$F$11:$F$33,"",'9. Thu, chi PABT'!$R$11:$R$33,"&gt;="&amp;'TH T.ứng+thu+chi PABT'!$D$5,'9. Thu, chi PABT'!$R$11:$R$33,"&lt;="&amp;'TH T.ứng+thu+chi PABT'!$D$6,'9. Thu, chi PABT'!$D$11:$D$33,"Tạm ứng")</f>
        <v>0</v>
      </c>
      <c r="K15" s="152">
        <f>SUMIFS('9. Thu, chi PABT'!$U$11:$U$33,'9. Thu, chi PABT'!$B$11:$B$33,'TH T.ứng+thu+chi PABT'!B15,'9. Thu, chi PABT'!$J$11:$J$33,'TH T.ứng+thu+chi PABT'!C15,'9. Thu, chi PABT'!$M$11:$M$33,'TH T.ứng+thu+chi PABT'!D15,'9. Thu, chi PABT'!$F$11:$F$33,"",'9. Thu, chi PABT'!$R$11:$R$33,"&gt;="&amp;'TH T.ứng+thu+chi PABT'!$D$5,'9. Thu, chi PABT'!$R$11:$R$33,"&lt;="&amp;'TH T.ứng+thu+chi PABT'!$D$6)</f>
        <v>0</v>
      </c>
      <c r="L15" s="130">
        <f t="shared" si="2"/>
        <v>0</v>
      </c>
      <c r="M15" s="130">
        <f t="shared" si="3"/>
        <v>0</v>
      </c>
      <c r="N15" s="130">
        <f t="shared" si="4"/>
        <v>0</v>
      </c>
      <c r="O15" s="130">
        <f t="shared" si="5"/>
        <v>0</v>
      </c>
      <c r="P15" s="130">
        <f t="shared" si="6"/>
        <v>0</v>
      </c>
    </row>
    <row r="16" spans="1:16" x14ac:dyDescent="0.25">
      <c r="A16" s="88"/>
      <c r="B16" s="88"/>
      <c r="C16" s="88"/>
      <c r="D16" s="88"/>
      <c r="E16" s="152">
        <f>SUMIFS('9. Thu, chi PABT'!$T$11:$T$33,'9. Thu, chi PABT'!$B$11:$B$33,'TH T.ứng+thu+chi PABT'!B16,'9. Thu, chi PABT'!$J$11:$J$33,'TH T.ứng+thu+chi PABT'!C16,'9. Thu, chi PABT'!$M$11:$M$33,'TH T.ứng+thu+chi PABT'!D16,'9. Thu, chi PABT'!$R$11:$R$33,"&lt;"&amp;'TH T.ứng+thu+chi PABT'!$D$5,'9. Thu, chi PABT'!$B$11:$B$33,"&lt;&gt;Tạm ứng",'9. Thu, chi PABT'!$D$11:$D$33,"&lt;&gt;Tạm ứng",'9. Thu, chi PABT'!$F$11:$F$33,"")</f>
        <v>0</v>
      </c>
      <c r="F16" s="152">
        <f>SUMIFS('9. Thu, chi PABT'!$T$11:$T$33,'9. Thu, chi PABT'!$B$11:$B$33,'TH T.ứng+thu+chi PABT'!B16,'9. Thu, chi PABT'!$J$11:$J$33,'TH T.ứng+thu+chi PABT'!C16,'9. Thu, chi PABT'!$M$11:$M$33,'TH T.ứng+thu+chi PABT'!D16,'9. Thu, chi PABT'!$R$11:$R$33,"&lt;"&amp;'TH T.ứng+thu+chi PABT'!$D$5,'9. Thu, chi PABT'!$B$11:$B$33,"Tạm ứng",'9. Thu, chi PABT'!$F$11:$F$33,"")
+SUMIFS('9. Thu, chi PABT'!$T$11:$T$33,'9. Thu, chi PABT'!$B$11:$B$33,'TH T.ứng+thu+chi PABT'!B16,'9. Thu, chi PABT'!$J$11:$J$33,'TH T.ứng+thu+chi PABT'!C16,'9. Thu, chi PABT'!$M$11:$M$33,'TH T.ứng+thu+chi PABT'!D16,'9. Thu, chi PABT'!$R$11:$R$33,"&lt;"&amp;'TH T.ứng+thu+chi PABT'!$D$5,'9. Thu, chi PABT'!$D$11:$D$33,"Tạm ứng",'9. Thu, chi PABT'!$F$11:$F$33,"")</f>
        <v>0</v>
      </c>
      <c r="G16" s="152">
        <f>SUMIFS('9. Thu, chi PABT'!$U$11:$U$33,'9. Thu, chi PABT'!$B$11:$B$33,'TH T.ứng+thu+chi PABT'!B16,'9. Thu, chi PABT'!$J$11:$J$33,'TH T.ứng+thu+chi PABT'!C16,'9. Thu, chi PABT'!$M$11:$M$33,'TH T.ứng+thu+chi PABT'!D16,'9. Thu, chi PABT'!$F$11:$F$33,"",'9. Thu, chi PABT'!$R$11:$R$33,"&lt;"&amp;'TH T.ứng+thu+chi PABT'!$D$5)</f>
        <v>0</v>
      </c>
      <c r="H16" s="130">
        <f t="shared" si="1"/>
        <v>0</v>
      </c>
      <c r="I16" s="152">
        <f>SUMIFS('9. Thu, chi PABT'!$T$11:$T$33,'9. Thu, chi PABT'!$B$11:$B$33,'TH T.ứng+thu+chi PABT'!B16,'9. Thu, chi PABT'!$J$11:$J$33,'TH T.ứng+thu+chi PABT'!C16,'9. Thu, chi PABT'!$M$11:$M$33,'TH T.ứng+thu+chi PABT'!D16,'9. Thu, chi PABT'!$F$11:$F$33,"",'9. Thu, chi PABT'!$R$11:$R$33,"&gt;="&amp;'TH T.ứng+thu+chi PABT'!$D$5,'9. Thu, chi PABT'!$R$11:$R$33,"&lt;="&amp;'TH T.ứng+thu+chi PABT'!$D$6,'9. Thu, chi PABT'!$B$11:$B$33,"&lt;&gt;Tạm ứng",'9. Thu, chi PABT'!$D$11:$D$33,"&lt;&gt;Tạm ứng")</f>
        <v>0</v>
      </c>
      <c r="J16" s="152">
        <f>SUMIFS('9. Thu, chi PABT'!$T$11:$T$33,'9. Thu, chi PABT'!$B$11:$B$33,'TH T.ứng+thu+chi PABT'!B16,'9. Thu, chi PABT'!$J$11:$J$33,'TH T.ứng+thu+chi PABT'!C16,'9. Thu, chi PABT'!$M$11:$M$33,'TH T.ứng+thu+chi PABT'!D16,'9. Thu, chi PABT'!$F$11:$F$33,"",'9. Thu, chi PABT'!$R$11:$R$33,"&gt;="&amp;'TH T.ứng+thu+chi PABT'!$D$5,'9. Thu, chi PABT'!$R$11:$R$33,"&lt;="&amp;'TH T.ứng+thu+chi PABT'!$D$6,'9. Thu, chi PABT'!$B$11:$B$33,"Tạm ứng")
+SUMIFS('9. Thu, chi PABT'!$T$11:$T$33,'9. Thu, chi PABT'!$B$11:$B$33,'TH T.ứng+thu+chi PABT'!B16,'9. Thu, chi PABT'!$J$11:$J$33,'TH T.ứng+thu+chi PABT'!C16,'9. Thu, chi PABT'!$M$11:$M$33,'TH T.ứng+thu+chi PABT'!D16,'9. Thu, chi PABT'!$F$11:$F$33,"",'9. Thu, chi PABT'!$R$11:$R$33,"&gt;="&amp;'TH T.ứng+thu+chi PABT'!$D$5,'9. Thu, chi PABT'!$R$11:$R$33,"&lt;="&amp;'TH T.ứng+thu+chi PABT'!$D$6,'9. Thu, chi PABT'!$D$11:$D$33,"Tạm ứng")</f>
        <v>0</v>
      </c>
      <c r="K16" s="152">
        <f>SUMIFS('9. Thu, chi PABT'!$U$11:$U$33,'9. Thu, chi PABT'!$B$11:$B$33,'TH T.ứng+thu+chi PABT'!B16,'9. Thu, chi PABT'!$J$11:$J$33,'TH T.ứng+thu+chi PABT'!C16,'9. Thu, chi PABT'!$M$11:$M$33,'TH T.ứng+thu+chi PABT'!D16,'9. Thu, chi PABT'!$F$11:$F$33,"",'9. Thu, chi PABT'!$R$11:$R$33,"&gt;="&amp;'TH T.ứng+thu+chi PABT'!$D$5,'9. Thu, chi PABT'!$R$11:$R$33,"&lt;="&amp;'TH T.ứng+thu+chi PABT'!$D$6)</f>
        <v>0</v>
      </c>
      <c r="L16" s="130">
        <f t="shared" si="2"/>
        <v>0</v>
      </c>
      <c r="M16" s="130">
        <f t="shared" si="3"/>
        <v>0</v>
      </c>
      <c r="N16" s="130">
        <f t="shared" si="4"/>
        <v>0</v>
      </c>
      <c r="O16" s="130">
        <f t="shared" si="5"/>
        <v>0</v>
      </c>
      <c r="P16" s="130">
        <f t="shared" si="6"/>
        <v>0</v>
      </c>
    </row>
    <row r="17" spans="1:16" x14ac:dyDescent="0.25">
      <c r="A17" s="88"/>
      <c r="B17" s="88"/>
      <c r="C17" s="88"/>
      <c r="D17" s="88"/>
      <c r="E17" s="152">
        <f>SUMIFS('9. Thu, chi PABT'!$T$11:$T$33,'9. Thu, chi PABT'!$B$11:$B$33,'TH T.ứng+thu+chi PABT'!B17,'9. Thu, chi PABT'!$J$11:$J$33,'TH T.ứng+thu+chi PABT'!C17,'9. Thu, chi PABT'!$M$11:$M$33,'TH T.ứng+thu+chi PABT'!D17,'9. Thu, chi PABT'!$R$11:$R$33,"&lt;"&amp;'TH T.ứng+thu+chi PABT'!$D$5,'9. Thu, chi PABT'!$B$11:$B$33,"&lt;&gt;Tạm ứng",'9. Thu, chi PABT'!$D$11:$D$33,"&lt;&gt;Tạm ứng",'9. Thu, chi PABT'!$F$11:$F$33,"")</f>
        <v>0</v>
      </c>
      <c r="F17" s="152">
        <f>SUMIFS('9. Thu, chi PABT'!$T$11:$T$33,'9. Thu, chi PABT'!$B$11:$B$33,'TH T.ứng+thu+chi PABT'!B17,'9. Thu, chi PABT'!$J$11:$J$33,'TH T.ứng+thu+chi PABT'!C17,'9. Thu, chi PABT'!$M$11:$M$33,'TH T.ứng+thu+chi PABT'!D17,'9. Thu, chi PABT'!$R$11:$R$33,"&lt;"&amp;'TH T.ứng+thu+chi PABT'!$D$5,'9. Thu, chi PABT'!$B$11:$B$33,"Tạm ứng",'9. Thu, chi PABT'!$F$11:$F$33,"")
+SUMIFS('9. Thu, chi PABT'!$T$11:$T$33,'9. Thu, chi PABT'!$B$11:$B$33,'TH T.ứng+thu+chi PABT'!B17,'9. Thu, chi PABT'!$J$11:$J$33,'TH T.ứng+thu+chi PABT'!C17,'9. Thu, chi PABT'!$M$11:$M$33,'TH T.ứng+thu+chi PABT'!D17,'9. Thu, chi PABT'!$R$11:$R$33,"&lt;"&amp;'TH T.ứng+thu+chi PABT'!$D$5,'9. Thu, chi PABT'!$D$11:$D$33,"Tạm ứng",'9. Thu, chi PABT'!$F$11:$F$33,"")</f>
        <v>0</v>
      </c>
      <c r="G17" s="152">
        <f>SUMIFS('9. Thu, chi PABT'!$U$11:$U$33,'9. Thu, chi PABT'!$B$11:$B$33,'TH T.ứng+thu+chi PABT'!B17,'9. Thu, chi PABT'!$J$11:$J$33,'TH T.ứng+thu+chi PABT'!C17,'9. Thu, chi PABT'!$M$11:$M$33,'TH T.ứng+thu+chi PABT'!D17,'9. Thu, chi PABT'!$F$11:$F$33,"",'9. Thu, chi PABT'!$R$11:$R$33,"&lt;"&amp;'TH T.ứng+thu+chi PABT'!$D$5)</f>
        <v>0</v>
      </c>
      <c r="H17" s="130">
        <f t="shared" si="1"/>
        <v>0</v>
      </c>
      <c r="I17" s="152">
        <f>SUMIFS('9. Thu, chi PABT'!$T$11:$T$33,'9. Thu, chi PABT'!$B$11:$B$33,'TH T.ứng+thu+chi PABT'!B17,'9. Thu, chi PABT'!$J$11:$J$33,'TH T.ứng+thu+chi PABT'!C17,'9. Thu, chi PABT'!$M$11:$M$33,'TH T.ứng+thu+chi PABT'!D17,'9. Thu, chi PABT'!$F$11:$F$33,"",'9. Thu, chi PABT'!$R$11:$R$33,"&gt;="&amp;'TH T.ứng+thu+chi PABT'!$D$5,'9. Thu, chi PABT'!$R$11:$R$33,"&lt;="&amp;'TH T.ứng+thu+chi PABT'!$D$6,'9. Thu, chi PABT'!$B$11:$B$33,"&lt;&gt;Tạm ứng",'9. Thu, chi PABT'!$D$11:$D$33,"&lt;&gt;Tạm ứng")</f>
        <v>0</v>
      </c>
      <c r="J17" s="152">
        <f>SUMIFS('9. Thu, chi PABT'!$T$11:$T$33,'9. Thu, chi PABT'!$B$11:$B$33,'TH T.ứng+thu+chi PABT'!B17,'9. Thu, chi PABT'!$J$11:$J$33,'TH T.ứng+thu+chi PABT'!C17,'9. Thu, chi PABT'!$M$11:$M$33,'TH T.ứng+thu+chi PABT'!D17,'9. Thu, chi PABT'!$F$11:$F$33,"",'9. Thu, chi PABT'!$R$11:$R$33,"&gt;="&amp;'TH T.ứng+thu+chi PABT'!$D$5,'9. Thu, chi PABT'!$R$11:$R$33,"&lt;="&amp;'TH T.ứng+thu+chi PABT'!$D$6,'9. Thu, chi PABT'!$B$11:$B$33,"Tạm ứng")
+SUMIFS('9. Thu, chi PABT'!$T$11:$T$33,'9. Thu, chi PABT'!$B$11:$B$33,'TH T.ứng+thu+chi PABT'!B17,'9. Thu, chi PABT'!$J$11:$J$33,'TH T.ứng+thu+chi PABT'!C17,'9. Thu, chi PABT'!$M$11:$M$33,'TH T.ứng+thu+chi PABT'!D17,'9. Thu, chi PABT'!$F$11:$F$33,"",'9. Thu, chi PABT'!$R$11:$R$33,"&gt;="&amp;'TH T.ứng+thu+chi PABT'!$D$5,'9. Thu, chi PABT'!$R$11:$R$33,"&lt;="&amp;'TH T.ứng+thu+chi PABT'!$D$6,'9. Thu, chi PABT'!$D$11:$D$33,"Tạm ứng")</f>
        <v>0</v>
      </c>
      <c r="K17" s="152">
        <f>SUMIFS('9. Thu, chi PABT'!$U$11:$U$33,'9. Thu, chi PABT'!$B$11:$B$33,'TH T.ứng+thu+chi PABT'!B17,'9. Thu, chi PABT'!$J$11:$J$33,'TH T.ứng+thu+chi PABT'!C17,'9. Thu, chi PABT'!$M$11:$M$33,'TH T.ứng+thu+chi PABT'!D17,'9. Thu, chi PABT'!$F$11:$F$33,"",'9. Thu, chi PABT'!$R$11:$R$33,"&gt;="&amp;'TH T.ứng+thu+chi PABT'!$D$5,'9. Thu, chi PABT'!$R$11:$R$33,"&lt;="&amp;'TH T.ứng+thu+chi PABT'!$D$6)</f>
        <v>0</v>
      </c>
      <c r="L17" s="130">
        <f t="shared" si="2"/>
        <v>0</v>
      </c>
      <c r="M17" s="130">
        <f t="shared" si="3"/>
        <v>0</v>
      </c>
      <c r="N17" s="130">
        <f t="shared" si="4"/>
        <v>0</v>
      </c>
      <c r="O17" s="130">
        <f t="shared" si="5"/>
        <v>0</v>
      </c>
      <c r="P17" s="130">
        <f t="shared" si="6"/>
        <v>0</v>
      </c>
    </row>
  </sheetData>
  <mergeCells count="7">
    <mergeCell ref="A1:E1"/>
    <mergeCell ref="A2:E2"/>
    <mergeCell ref="I7:L7"/>
    <mergeCell ref="M7:P7"/>
    <mergeCell ref="A7:D7"/>
    <mergeCell ref="E7:H7"/>
    <mergeCell ref="A4:P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25D2-E2AA-48A3-B8CB-296D75BD969C}">
  <dimension ref="A1:Q17"/>
  <sheetViews>
    <sheetView zoomScaleNormal="100" workbookViewId="0">
      <selection activeCell="G10" sqref="G9:G10"/>
    </sheetView>
  </sheetViews>
  <sheetFormatPr defaultColWidth="8.85546875" defaultRowHeight="15" x14ac:dyDescent="0.25"/>
  <cols>
    <col min="1" max="1" width="4.42578125" style="87" customWidth="1"/>
    <col min="2" max="2" width="11.7109375" style="87" customWidth="1"/>
    <col min="3" max="3" width="14.7109375" style="87" bestFit="1" customWidth="1"/>
    <col min="4" max="4" width="17.28515625" style="87" customWidth="1"/>
    <col min="5" max="5" width="11.5703125" style="87" customWidth="1"/>
    <col min="6" max="17" width="14.28515625" style="153" customWidth="1"/>
    <col min="18" max="16384" width="8.85546875" style="87"/>
  </cols>
  <sheetData>
    <row r="1" spans="1:17" ht="15.6" customHeight="1" x14ac:dyDescent="0.25">
      <c r="A1" s="168" t="s">
        <v>9</v>
      </c>
      <c r="B1" s="168"/>
      <c r="C1" s="168"/>
      <c r="D1" s="168"/>
      <c r="E1" s="168"/>
      <c r="F1" s="168"/>
      <c r="G1" s="49"/>
      <c r="H1" s="49"/>
      <c r="I1" s="49"/>
      <c r="J1" s="49"/>
      <c r="K1" s="49"/>
      <c r="L1" s="1"/>
      <c r="M1" s="1"/>
      <c r="N1" s="35"/>
      <c r="O1" s="14"/>
    </row>
    <row r="2" spans="1:17" ht="15.6" customHeight="1" x14ac:dyDescent="0.25">
      <c r="A2" s="168" t="s">
        <v>10</v>
      </c>
      <c r="B2" s="168"/>
      <c r="C2" s="168"/>
      <c r="D2" s="168"/>
      <c r="E2" s="168"/>
      <c r="F2" s="168"/>
      <c r="G2" s="49"/>
      <c r="H2" s="49"/>
      <c r="I2" s="49"/>
      <c r="J2" s="49"/>
      <c r="K2" s="49"/>
      <c r="L2" s="1"/>
      <c r="M2" s="1"/>
      <c r="N2" s="35"/>
      <c r="O2" s="14"/>
    </row>
    <row r="3" spans="1:17" ht="15.75" x14ac:dyDescent="0.25">
      <c r="A3" s="2"/>
      <c r="B3" s="1"/>
      <c r="C3" s="1"/>
      <c r="D3" s="20"/>
      <c r="E3" s="1"/>
      <c r="F3" s="1"/>
      <c r="G3" s="1"/>
      <c r="H3" s="1"/>
      <c r="I3" s="1"/>
      <c r="J3" s="20"/>
      <c r="K3" s="21"/>
      <c r="L3" s="21"/>
      <c r="M3" s="62"/>
      <c r="N3" s="68"/>
      <c r="O3" s="22"/>
    </row>
    <row r="4" spans="1:17" ht="15.6" customHeight="1" x14ac:dyDescent="0.25">
      <c r="A4" s="168" t="s">
        <v>289</v>
      </c>
      <c r="B4" s="168"/>
      <c r="C4" s="168"/>
      <c r="D4" s="168"/>
      <c r="E4" s="168"/>
      <c r="F4" s="168"/>
      <c r="G4" s="168"/>
      <c r="H4" s="168"/>
      <c r="I4" s="168"/>
      <c r="J4" s="168"/>
      <c r="K4" s="168"/>
      <c r="L4" s="168"/>
      <c r="M4" s="168"/>
      <c r="N4" s="168"/>
      <c r="O4" s="168"/>
      <c r="P4" s="168"/>
      <c r="Q4" s="168"/>
    </row>
    <row r="5" spans="1:17" ht="15.6" customHeight="1" x14ac:dyDescent="0.25">
      <c r="A5" s="1"/>
      <c r="B5" s="1"/>
      <c r="C5" s="154" t="s">
        <v>297</v>
      </c>
      <c r="D5" s="155">
        <v>45438</v>
      </c>
      <c r="E5" s="1"/>
      <c r="F5" s="1"/>
      <c r="G5" s="1"/>
      <c r="H5" s="1"/>
      <c r="I5" s="1"/>
      <c r="J5" s="1"/>
      <c r="K5" s="1"/>
      <c r="L5" s="1"/>
      <c r="M5" s="1"/>
      <c r="N5" s="1"/>
      <c r="O5" s="1"/>
      <c r="P5" s="1"/>
      <c r="Q5" s="1"/>
    </row>
    <row r="6" spans="1:17" x14ac:dyDescent="0.25">
      <c r="C6" s="156" t="s">
        <v>298</v>
      </c>
      <c r="D6" s="157">
        <v>45439</v>
      </c>
    </row>
    <row r="7" spans="1:17" ht="13.9" customHeight="1" x14ac:dyDescent="0.25">
      <c r="A7" s="174" t="s">
        <v>40</v>
      </c>
      <c r="B7" s="175"/>
      <c r="C7" s="175"/>
      <c r="D7" s="175"/>
      <c r="E7" s="183"/>
      <c r="F7" s="187" t="s">
        <v>290</v>
      </c>
      <c r="G7" s="188"/>
      <c r="H7" s="188"/>
      <c r="I7" s="189"/>
      <c r="J7" s="187" t="s">
        <v>291</v>
      </c>
      <c r="K7" s="188"/>
      <c r="L7" s="188"/>
      <c r="M7" s="189"/>
      <c r="N7" s="187" t="s">
        <v>292</v>
      </c>
      <c r="O7" s="188"/>
      <c r="P7" s="188"/>
      <c r="Q7" s="189"/>
    </row>
    <row r="8" spans="1:17" ht="38.25" x14ac:dyDescent="0.25">
      <c r="A8" s="8" t="s">
        <v>0</v>
      </c>
      <c r="B8" s="5" t="s">
        <v>217</v>
      </c>
      <c r="C8" s="5" t="s">
        <v>69</v>
      </c>
      <c r="D8" s="4" t="s">
        <v>36</v>
      </c>
      <c r="E8" s="5" t="s">
        <v>82</v>
      </c>
      <c r="F8" s="98" t="s">
        <v>293</v>
      </c>
      <c r="G8" s="98" t="s">
        <v>294</v>
      </c>
      <c r="H8" s="98" t="s">
        <v>295</v>
      </c>
      <c r="I8" s="40" t="s">
        <v>296</v>
      </c>
      <c r="J8" s="98" t="s">
        <v>293</v>
      </c>
      <c r="K8" s="98" t="s">
        <v>294</v>
      </c>
      <c r="L8" s="98" t="s">
        <v>295</v>
      </c>
      <c r="M8" s="40" t="s">
        <v>296</v>
      </c>
      <c r="N8" s="98" t="s">
        <v>293</v>
      </c>
      <c r="O8" s="98" t="s">
        <v>294</v>
      </c>
      <c r="P8" s="98" t="s">
        <v>295</v>
      </c>
      <c r="Q8" s="40" t="s">
        <v>296</v>
      </c>
    </row>
    <row r="9" spans="1:17" x14ac:dyDescent="0.25">
      <c r="A9" s="7"/>
      <c r="B9" s="7" cm="1">
        <f t="array" ref="B9:E12">_xlfn.UNIQUE(_xlfn.HSTACK(_xlfn._xlws.FILTER('9. Thu, chi PABT'!$B$11:$B$33,('9. Thu, chi PABT'!$R$11:$R$33&lt;='TH T.ứng+thu+chi GPMB nhanh'!D6)*('9. Thu, chi PABT'!$F$11:$F$33&lt;&gt;"")),_xlfn._xlws.FILTER('9. Thu, chi PABT'!$F$11:$F$33,('9. Thu, chi PABT'!$R$11:$R$33&lt;='TH T.ứng+thu+chi GPMB nhanh'!D6)*('9. Thu, chi PABT'!$F$11:$F$33&lt;&gt;"")),_xlfn._xlws.FILTER('9. Thu, chi PABT'!$J$11:$J$33,('9. Thu, chi PABT'!$R$11:$R$33&lt;='TH T.ứng+thu+chi GPMB nhanh'!D6)*('9. Thu, chi PABT'!$F$11:$F$33&lt;&gt;"")),_xlfn._xlws.FILTER('9. Thu, chi PABT'!$M$11:$M$33,('9. Thu, chi PABT'!$R$11:$R$33&lt;='TH T.ứng+thu+chi GPMB nhanh'!D6)*('9. Thu, chi PABT'!$F$11:$F$33&lt;&gt;""))))</f>
        <v>110</v>
      </c>
      <c r="C9" s="7" t="str">
        <v>Tạm ứng</v>
      </c>
      <c r="D9" s="7" t="str">
        <v>Nguyễn Đức Anh</v>
      </c>
      <c r="E9" s="7" t="str">
        <v>123A</v>
      </c>
      <c r="F9" s="39">
        <f>SUMIFS('9. Thu, chi PABT'!$T$11:$T$33,'9. Thu, chi PABT'!$B$11:$B$33,'TH T.ứng+thu+chi GPMB nhanh'!B9,'9. Thu, chi PABT'!$F$11:$F$33,'TH T.ứng+thu+chi GPMB nhanh'!C9,'9. Thu, chi PABT'!$J$11:$J$33,'TH T.ứng+thu+chi GPMB nhanh'!D9,'9. Thu, chi PABT'!$M$11:$M$33,'TH T.ứng+thu+chi GPMB nhanh'!E9,'9. Thu, chi PABT'!$F$11:$F$33,"&lt;&gt;Tạm ứng",'9. Thu, chi PABT'!$H$11:$H$33,"&lt;&gt;Tạm ứng",'9. Thu, chi PABT'!$R$11:$R$33,"&lt;"&amp;'TH T.ứng+thu+chi GPMB nhanh'!$D$5)</f>
        <v>0</v>
      </c>
      <c r="G9" s="39">
        <f>SUMIFS('9. Thu, chi PABT'!$T$11:$T$33,'9. Thu, chi PABT'!$B$11:$B$33,'TH T.ứng+thu+chi GPMB nhanh'!B9,'9. Thu, chi PABT'!$F$11:$F$33,'TH T.ứng+thu+chi GPMB nhanh'!C9,'9. Thu, chi PABT'!$J$11:$J$33,'TH T.ứng+thu+chi GPMB nhanh'!D9,'9. Thu, chi PABT'!$M$11:$M$33,'TH T.ứng+thu+chi GPMB nhanh'!E9,'9. Thu, chi PABT'!$F$11:$F$33,"Tạm ứng",'9. Thu, chi PABT'!$R$11:$R$33,"&lt;"&amp;'TH T.ứng+thu+chi GPMB nhanh'!$D$5)+SUMIFS('9. Thu, chi PABT'!$T$11:$T$33,'9. Thu, chi PABT'!$B$11:$B$33,'TH T.ứng+thu+chi GPMB nhanh'!B9,'9. Thu, chi PABT'!$F$11:$F$33,'TH T.ứng+thu+chi GPMB nhanh'!C9,'9. Thu, chi PABT'!$J$11:$J$33,'TH T.ứng+thu+chi GPMB nhanh'!D9,'9. Thu, chi PABT'!$M$11:$M$33,'TH T.ứng+thu+chi GPMB nhanh'!E9,'9. Thu, chi PABT'!$H$11:$H$33,"Tạm ứng",'9. Thu, chi PABT'!$R$11:$R$33,"&lt;"&amp;'TH T.ứng+thu+chi GPMB nhanh'!$D$5)</f>
        <v>50000000</v>
      </c>
      <c r="H9" s="39">
        <f>SUMIFS('9. Thu, chi PABT'!$U$11:$U$33,'9. Thu, chi PABT'!$B$11:$B$33,'TH T.ứng+thu+chi GPMB nhanh'!B9,'9. Thu, chi PABT'!$F$11:$F$33,'TH T.ứng+thu+chi GPMB nhanh'!C9,'9. Thu, chi PABT'!$J$11:$J$33,'TH T.ứng+thu+chi GPMB nhanh'!D9,'9. Thu, chi PABT'!$M$11:$M$33,'TH T.ứng+thu+chi GPMB nhanh'!E9,'9. Thu, chi PABT'!$F$11:$F$33,"&lt;&gt;Tạm ứng",'9. Thu, chi PABT'!$H$11:$H$33,"&lt;&gt;Tạm ứng",'9. Thu, chi PABT'!$R$11:$R$33,"&lt;"&amp;'TH T.ứng+thu+chi GPMB nhanh'!$D$5)</f>
        <v>0</v>
      </c>
      <c r="I9" s="41">
        <f>(F9+G9)-H9</f>
        <v>50000000</v>
      </c>
      <c r="J9" s="39">
        <f>SUMIFS('9. Thu, chi PABT'!$T$11:$T$33,'9. Thu, chi PABT'!$B$11:$B$33,'TH T.ứng+thu+chi GPMB nhanh'!B9,'9. Thu, chi PABT'!$F$11:$F$33,'TH T.ứng+thu+chi GPMB nhanh'!C9,'9. Thu, chi PABT'!$J$11:$J$33,'TH T.ứng+thu+chi GPMB nhanh'!D9,'9. Thu, chi PABT'!$M$11:$M$33,'TH T.ứng+thu+chi GPMB nhanh'!E9,'9. Thu, chi PABT'!$F$11:$F$33,"&lt;&gt;Tạm ứng",'9. Thu, chi PABT'!$H$11:$H$33,"&lt;&gt;Tạm ứng",'9. Thu, chi PABT'!$R$11:$R$33,"&gt;="&amp;'TH T.ứng+thu+chi GPMB nhanh'!$D$5,'9. Thu, chi PABT'!$R$11:$R$33,"&lt;="&amp;'TH T.ứng+thu+chi GPMB nhanh'!$D$6)</f>
        <v>0</v>
      </c>
      <c r="K9" s="39">
        <f>SUMIFS('9. Thu, chi PABT'!$T$11:$T$33,'9. Thu, chi PABT'!$B$11:$B$33,'TH T.ứng+thu+chi GPMB nhanh'!B9,'9. Thu, chi PABT'!$F$11:$F$33,'TH T.ứng+thu+chi GPMB nhanh'!C9,'9. Thu, chi PABT'!$J$11:$J$33,'TH T.ứng+thu+chi GPMB nhanh'!D9,'9. Thu, chi PABT'!$M$11:$M$33,'TH T.ứng+thu+chi GPMB nhanh'!E9,'9. Thu, chi PABT'!$F$11:$F$33,"Tạm ứng",'9. Thu, chi PABT'!$R$11:$R$33,"&gt;="&amp;'TH T.ứng+thu+chi GPMB nhanh'!$D$5,'9. Thu, chi PABT'!$R$11:$R$33,"&lt;="&amp;'TH T.ứng+thu+chi GPMB nhanh'!$D$6)+SUMIFS('9. Thu, chi PABT'!$T$11:$T$33,'9. Thu, chi PABT'!$B$11:$B$33,'TH T.ứng+thu+chi GPMB nhanh'!B9,'9. Thu, chi PABT'!$F$11:$F$33,'TH T.ứng+thu+chi GPMB nhanh'!C9,'9. Thu, chi PABT'!$J$11:$J$33,'TH T.ứng+thu+chi GPMB nhanh'!D9,'9. Thu, chi PABT'!$M$11:$M$33,'TH T.ứng+thu+chi GPMB nhanh'!E9,'9. Thu, chi PABT'!$H$11:$H$33,"Tạm ứng",'9. Thu, chi PABT'!$R$11:$R$33,"&gt;="&amp;'TH T.ứng+thu+chi GPMB nhanh'!$D$5,'9. Thu, chi PABT'!$R$11:$R$33,"&lt;="&amp;'TH T.ứng+thu+chi GPMB nhanh'!$D$6)</f>
        <v>0</v>
      </c>
      <c r="L9" s="39">
        <f>SUMIFS('9. Thu, chi PABT'!$U$11:$U$33,'9. Thu, chi PABT'!$B$11:$B$33,'TH T.ứng+thu+chi GPMB nhanh'!B9,'9. Thu, chi PABT'!$F$11:$F$33,'TH T.ứng+thu+chi GPMB nhanh'!C9,'9. Thu, chi PABT'!$J$11:$J$33,'TH T.ứng+thu+chi GPMB nhanh'!D9,'9. Thu, chi PABT'!$M$11:$M$33,'TH T.ứng+thu+chi GPMB nhanh'!E9,'9. Thu, chi PABT'!$F$11:$F$33,"&lt;&gt;Tạm ứng",'9. Thu, chi PABT'!$H$11:$H$33,"&lt;&gt;Tạm ứng",'9. Thu, chi PABT'!$R$11:$R$33,"&gt;="&amp;'TH T.ứng+thu+chi GPMB nhanh'!$D$5,'9. Thu, chi PABT'!$R$11:$R$33,"&lt;="&amp;'TH T.ứng+thu+chi GPMB nhanh'!$D$6)</f>
        <v>0</v>
      </c>
      <c r="M9" s="41">
        <f>(J9+K9)-L9</f>
        <v>0</v>
      </c>
      <c r="N9" s="41">
        <f>F9+J9</f>
        <v>0</v>
      </c>
      <c r="O9" s="41">
        <f t="shared" ref="O9:Q17" si="0">G9+K9</f>
        <v>50000000</v>
      </c>
      <c r="P9" s="41">
        <f t="shared" si="0"/>
        <v>0</v>
      </c>
      <c r="Q9" s="41">
        <f t="shared" si="0"/>
        <v>50000000</v>
      </c>
    </row>
    <row r="10" spans="1:17" x14ac:dyDescent="0.25">
      <c r="A10" s="7"/>
      <c r="B10" s="7">
        <v>120</v>
      </c>
      <c r="C10" s="7">
        <v>220</v>
      </c>
      <c r="D10" s="7" t="str">
        <v>Nguyễn Đức Anh</v>
      </c>
      <c r="E10" s="7" t="str">
        <v>123A</v>
      </c>
      <c r="F10" s="39">
        <f>SUMIFS('9. Thu, chi PABT'!$T$11:$T$33,'9. Thu, chi PABT'!$B$11:$B$33,'TH T.ứng+thu+chi GPMB nhanh'!B10,'9. Thu, chi PABT'!$F$11:$F$33,'TH T.ứng+thu+chi GPMB nhanh'!C10,'9. Thu, chi PABT'!$J$11:$J$33,'TH T.ứng+thu+chi GPMB nhanh'!D10,'9. Thu, chi PABT'!$M$11:$M$33,'TH T.ứng+thu+chi GPMB nhanh'!E10,'9. Thu, chi PABT'!$F$11:$F$33,"&lt;&gt;Tạm ứng",'9. Thu, chi PABT'!$H$11:$H$33,"&lt;&gt;Tạm ứng",'9. Thu, chi PABT'!$R$11:$R$33,"&lt;"&amp;'TH T.ứng+thu+chi GPMB nhanh'!$D$5)</f>
        <v>90000000</v>
      </c>
      <c r="G10" s="39">
        <f>SUMIFS('9. Thu, chi PABT'!$T$11:$T$33,'9. Thu, chi PABT'!$B$11:$B$33,'TH T.ứng+thu+chi GPMB nhanh'!B10,'9. Thu, chi PABT'!$F$11:$F$33,'TH T.ứng+thu+chi GPMB nhanh'!C10,'9. Thu, chi PABT'!$J$11:$J$33,'TH T.ứng+thu+chi GPMB nhanh'!D10,'9. Thu, chi PABT'!$M$11:$M$33,'TH T.ứng+thu+chi GPMB nhanh'!E10,'9. Thu, chi PABT'!$F$11:$F$33,"Tạm ứng",'9. Thu, chi PABT'!$R$11:$R$33,"&lt;"&amp;'TH T.ứng+thu+chi GPMB nhanh'!$D$5)+SUMIFS('9. Thu, chi PABT'!$T$11:$T$33,'9. Thu, chi PABT'!$B$11:$B$33,'TH T.ứng+thu+chi GPMB nhanh'!B10,'9. Thu, chi PABT'!$F$11:$F$33,'TH T.ứng+thu+chi GPMB nhanh'!C10,'9. Thu, chi PABT'!$J$11:$J$33,'TH T.ứng+thu+chi GPMB nhanh'!D10,'9. Thu, chi PABT'!$M$11:$M$33,'TH T.ứng+thu+chi GPMB nhanh'!E10,'9. Thu, chi PABT'!$H$11:$H$33,"Tạm ứng",'9. Thu, chi PABT'!$R$11:$R$33,"&lt;"&amp;'TH T.ứng+thu+chi GPMB nhanh'!$D$5)</f>
        <v>0</v>
      </c>
      <c r="H10" s="39">
        <f>SUMIFS('9. Thu, chi PABT'!$U$11:$U$33,'9. Thu, chi PABT'!$B$11:$B$33,'TH T.ứng+thu+chi GPMB nhanh'!B10,'9. Thu, chi PABT'!$F$11:$F$33,'TH T.ứng+thu+chi GPMB nhanh'!C10,'9. Thu, chi PABT'!$J$11:$J$33,'TH T.ứng+thu+chi GPMB nhanh'!D10,'9. Thu, chi PABT'!$M$11:$M$33,'TH T.ứng+thu+chi GPMB nhanh'!E10,'9. Thu, chi PABT'!$F$11:$F$33,"&lt;&gt;Tạm ứng",'9. Thu, chi PABT'!$H$11:$H$33,"&lt;&gt;Tạm ứng",'9. Thu, chi PABT'!$R$11:$R$33,"&lt;"&amp;'TH T.ứng+thu+chi GPMB nhanh'!$D$5)</f>
        <v>0</v>
      </c>
      <c r="I10" s="41">
        <f t="shared" ref="I10:I17" si="1">(F10+G10)-H10</f>
        <v>90000000</v>
      </c>
      <c r="J10" s="39">
        <f>SUMIFS('9. Thu, chi PABT'!$T$11:$T$33,'9. Thu, chi PABT'!$B$11:$B$33,'TH T.ứng+thu+chi GPMB nhanh'!B10,'9. Thu, chi PABT'!$F$11:$F$33,'TH T.ứng+thu+chi GPMB nhanh'!C10,'9. Thu, chi PABT'!$J$11:$J$33,'TH T.ứng+thu+chi GPMB nhanh'!D10,'9. Thu, chi PABT'!$M$11:$M$33,'TH T.ứng+thu+chi GPMB nhanh'!E10,'9. Thu, chi PABT'!$F$11:$F$33,"&lt;&gt;Tạm ứng",'9. Thu, chi PABT'!$H$11:$H$33,"&lt;&gt;Tạm ứng",'9. Thu, chi PABT'!$R$11:$R$33,"&gt;="&amp;'TH T.ứng+thu+chi GPMB nhanh'!$D$5,'9. Thu, chi PABT'!$R$11:$R$33,"&lt;="&amp;'TH T.ứng+thu+chi GPMB nhanh'!$D$6)</f>
        <v>0</v>
      </c>
      <c r="K10" s="39">
        <f>SUMIFS('9. Thu, chi PABT'!$T$11:$T$33,'9. Thu, chi PABT'!$B$11:$B$33,'TH T.ứng+thu+chi GPMB nhanh'!B10,'9. Thu, chi PABT'!$F$11:$F$33,'TH T.ứng+thu+chi GPMB nhanh'!C10,'9. Thu, chi PABT'!$J$11:$J$33,'TH T.ứng+thu+chi GPMB nhanh'!D10,'9. Thu, chi PABT'!$M$11:$M$33,'TH T.ứng+thu+chi GPMB nhanh'!E10,'9. Thu, chi PABT'!$F$11:$F$33,"Tạm ứng",'9. Thu, chi PABT'!$R$11:$R$33,"&gt;="&amp;'TH T.ứng+thu+chi GPMB nhanh'!$D$5,'9. Thu, chi PABT'!$R$11:$R$33,"&lt;="&amp;'TH T.ứng+thu+chi GPMB nhanh'!$D$6)+SUMIFS('9. Thu, chi PABT'!$T$11:$T$33,'9. Thu, chi PABT'!$B$11:$B$33,'TH T.ứng+thu+chi GPMB nhanh'!B10,'9. Thu, chi PABT'!$F$11:$F$33,'TH T.ứng+thu+chi GPMB nhanh'!C10,'9. Thu, chi PABT'!$J$11:$J$33,'TH T.ứng+thu+chi GPMB nhanh'!D10,'9. Thu, chi PABT'!$M$11:$M$33,'TH T.ứng+thu+chi GPMB nhanh'!E10,'9. Thu, chi PABT'!$H$11:$H$33,"Tạm ứng",'9. Thu, chi PABT'!$R$11:$R$33,"&gt;="&amp;'TH T.ứng+thu+chi GPMB nhanh'!$D$5,'9. Thu, chi PABT'!$R$11:$R$33,"&lt;="&amp;'TH T.ứng+thu+chi GPMB nhanh'!$D$6)</f>
        <v>0</v>
      </c>
      <c r="L10" s="39">
        <f>SUMIFS('9. Thu, chi PABT'!$U$11:$U$33,'9. Thu, chi PABT'!$B$11:$B$33,'TH T.ứng+thu+chi GPMB nhanh'!B10,'9. Thu, chi PABT'!$F$11:$F$33,'TH T.ứng+thu+chi GPMB nhanh'!C10,'9. Thu, chi PABT'!$J$11:$J$33,'TH T.ứng+thu+chi GPMB nhanh'!D10,'9. Thu, chi PABT'!$M$11:$M$33,'TH T.ứng+thu+chi GPMB nhanh'!E10,'9. Thu, chi PABT'!$F$11:$F$33,"&lt;&gt;Tạm ứng",'9. Thu, chi PABT'!$H$11:$H$33,"&lt;&gt;Tạm ứng",'9. Thu, chi PABT'!$R$11:$R$33,"&gt;="&amp;'TH T.ứng+thu+chi GPMB nhanh'!$D$5,'9. Thu, chi PABT'!$R$11:$R$33,"&lt;="&amp;'TH T.ứng+thu+chi GPMB nhanh'!$D$6)</f>
        <v>0</v>
      </c>
      <c r="M10" s="41">
        <f t="shared" ref="M10:M17" si="2">(J10+K10)-L10</f>
        <v>0</v>
      </c>
      <c r="N10" s="41">
        <f t="shared" ref="N10:N17" si="3">F10+J10</f>
        <v>90000000</v>
      </c>
      <c r="O10" s="41">
        <f t="shared" si="0"/>
        <v>0</v>
      </c>
      <c r="P10" s="41">
        <f t="shared" si="0"/>
        <v>0</v>
      </c>
      <c r="Q10" s="41">
        <f t="shared" si="0"/>
        <v>90000000</v>
      </c>
    </row>
    <row r="11" spans="1:17" x14ac:dyDescent="0.25">
      <c r="A11" s="7"/>
      <c r="B11" s="7">
        <v>130</v>
      </c>
      <c r="C11" s="7">
        <v>230</v>
      </c>
      <c r="D11" s="7" t="str">
        <v>Nguyễn Đức Anh</v>
      </c>
      <c r="E11" s="7" t="str">
        <v>123A</v>
      </c>
      <c r="F11" s="39">
        <f>SUMIFS('9. Thu, chi PABT'!$T$11:$T$33,'9. Thu, chi PABT'!$B$11:$B$33,'TH T.ứng+thu+chi GPMB nhanh'!B11,'9. Thu, chi PABT'!$F$11:$F$33,'TH T.ứng+thu+chi GPMB nhanh'!C11,'9. Thu, chi PABT'!$J$11:$J$33,'TH T.ứng+thu+chi GPMB nhanh'!D11,'9. Thu, chi PABT'!$M$11:$M$33,'TH T.ứng+thu+chi GPMB nhanh'!E11,'9. Thu, chi PABT'!$F$11:$F$33,"&lt;&gt;Tạm ứng",'9. Thu, chi PABT'!$H$11:$H$33,"&lt;&gt;Tạm ứng",'9. Thu, chi PABT'!$R$11:$R$33,"&lt;"&amp;'TH T.ứng+thu+chi GPMB nhanh'!$D$5)</f>
        <v>130000000</v>
      </c>
      <c r="G11" s="39">
        <f>SUMIFS('9. Thu, chi PABT'!$T$11:$T$33,'9. Thu, chi PABT'!$B$11:$B$33,'TH T.ứng+thu+chi GPMB nhanh'!B11,'9. Thu, chi PABT'!$F$11:$F$33,'TH T.ứng+thu+chi GPMB nhanh'!C11,'9. Thu, chi PABT'!$J$11:$J$33,'TH T.ứng+thu+chi GPMB nhanh'!D11,'9. Thu, chi PABT'!$M$11:$M$33,'TH T.ứng+thu+chi GPMB nhanh'!E11,'9. Thu, chi PABT'!$F$11:$F$33,"Tạm ứng",'9. Thu, chi PABT'!$R$11:$R$33,"&lt;"&amp;'TH T.ứng+thu+chi GPMB nhanh'!$D$5)+SUMIFS('9. Thu, chi PABT'!$T$11:$T$33,'9. Thu, chi PABT'!$B$11:$B$33,'TH T.ứng+thu+chi GPMB nhanh'!B11,'9. Thu, chi PABT'!$F$11:$F$33,'TH T.ứng+thu+chi GPMB nhanh'!C11,'9. Thu, chi PABT'!$J$11:$J$33,'TH T.ứng+thu+chi GPMB nhanh'!D11,'9. Thu, chi PABT'!$M$11:$M$33,'TH T.ứng+thu+chi GPMB nhanh'!E11,'9. Thu, chi PABT'!$H$11:$H$33,"Tạm ứng",'9. Thu, chi PABT'!$R$11:$R$33,"&lt;"&amp;'TH T.ứng+thu+chi GPMB nhanh'!$D$5)</f>
        <v>80000000</v>
      </c>
      <c r="H11" s="39">
        <f>SUMIFS('9. Thu, chi PABT'!$U$11:$U$33,'9. Thu, chi PABT'!$B$11:$B$33,'TH T.ứng+thu+chi GPMB nhanh'!B11,'9. Thu, chi PABT'!$F$11:$F$33,'TH T.ứng+thu+chi GPMB nhanh'!C11,'9. Thu, chi PABT'!$J$11:$J$33,'TH T.ứng+thu+chi GPMB nhanh'!D11,'9. Thu, chi PABT'!$M$11:$M$33,'TH T.ứng+thu+chi GPMB nhanh'!E11,'9. Thu, chi PABT'!$F$11:$F$33,"&lt;&gt;Tạm ứng",'9. Thu, chi PABT'!$H$11:$H$33,"&lt;&gt;Tạm ứng",'9. Thu, chi PABT'!$R$11:$R$33,"&lt;"&amp;'TH T.ứng+thu+chi GPMB nhanh'!$D$5)</f>
        <v>0</v>
      </c>
      <c r="I11" s="41">
        <f t="shared" si="1"/>
        <v>210000000</v>
      </c>
      <c r="J11" s="39">
        <f>SUMIFS('9. Thu, chi PABT'!$T$11:$T$33,'9. Thu, chi PABT'!$B$11:$B$33,'TH T.ứng+thu+chi GPMB nhanh'!B11,'9. Thu, chi PABT'!$F$11:$F$33,'TH T.ứng+thu+chi GPMB nhanh'!C11,'9. Thu, chi PABT'!$J$11:$J$33,'TH T.ứng+thu+chi GPMB nhanh'!D11,'9. Thu, chi PABT'!$M$11:$M$33,'TH T.ứng+thu+chi GPMB nhanh'!E11,'9. Thu, chi PABT'!$F$11:$F$33,"&lt;&gt;Tạm ứng",'9. Thu, chi PABT'!$H$11:$H$33,"&lt;&gt;Tạm ứng",'9. Thu, chi PABT'!$R$11:$R$33,"&gt;="&amp;'TH T.ứng+thu+chi GPMB nhanh'!$D$5,'9. Thu, chi PABT'!$R$11:$R$33,"&lt;="&amp;'TH T.ứng+thu+chi GPMB nhanh'!$D$6)</f>
        <v>0</v>
      </c>
      <c r="K11" s="39">
        <f>SUMIFS('9. Thu, chi PABT'!$T$11:$T$33,'9. Thu, chi PABT'!$B$11:$B$33,'TH T.ứng+thu+chi GPMB nhanh'!B11,'9. Thu, chi PABT'!$F$11:$F$33,'TH T.ứng+thu+chi GPMB nhanh'!C11,'9. Thu, chi PABT'!$J$11:$J$33,'TH T.ứng+thu+chi GPMB nhanh'!D11,'9. Thu, chi PABT'!$M$11:$M$33,'TH T.ứng+thu+chi GPMB nhanh'!E11,'9. Thu, chi PABT'!$F$11:$F$33,"Tạm ứng",'9. Thu, chi PABT'!$R$11:$R$33,"&gt;="&amp;'TH T.ứng+thu+chi GPMB nhanh'!$D$5,'9. Thu, chi PABT'!$R$11:$R$33,"&lt;="&amp;'TH T.ứng+thu+chi GPMB nhanh'!$D$6)+SUMIFS('9. Thu, chi PABT'!$T$11:$T$33,'9. Thu, chi PABT'!$B$11:$B$33,'TH T.ứng+thu+chi GPMB nhanh'!B11,'9. Thu, chi PABT'!$F$11:$F$33,'TH T.ứng+thu+chi GPMB nhanh'!C11,'9. Thu, chi PABT'!$J$11:$J$33,'TH T.ứng+thu+chi GPMB nhanh'!D11,'9. Thu, chi PABT'!$M$11:$M$33,'TH T.ứng+thu+chi GPMB nhanh'!E11,'9. Thu, chi PABT'!$H$11:$H$33,"Tạm ứng",'9. Thu, chi PABT'!$R$11:$R$33,"&gt;="&amp;'TH T.ứng+thu+chi GPMB nhanh'!$D$5,'9. Thu, chi PABT'!$R$11:$R$33,"&lt;="&amp;'TH T.ứng+thu+chi GPMB nhanh'!$D$6)</f>
        <v>0</v>
      </c>
      <c r="L11" s="39">
        <f>SUMIFS('9. Thu, chi PABT'!$U$11:$U$33,'9. Thu, chi PABT'!$B$11:$B$33,'TH T.ứng+thu+chi GPMB nhanh'!B11,'9. Thu, chi PABT'!$F$11:$F$33,'TH T.ứng+thu+chi GPMB nhanh'!C11,'9. Thu, chi PABT'!$J$11:$J$33,'TH T.ứng+thu+chi GPMB nhanh'!D11,'9. Thu, chi PABT'!$M$11:$M$33,'TH T.ứng+thu+chi GPMB nhanh'!E11,'9. Thu, chi PABT'!$F$11:$F$33,"&lt;&gt;Tạm ứng",'9. Thu, chi PABT'!$H$11:$H$33,"&lt;&gt;Tạm ứng",'9. Thu, chi PABT'!$R$11:$R$33,"&gt;="&amp;'TH T.ứng+thu+chi GPMB nhanh'!$D$5,'9. Thu, chi PABT'!$R$11:$R$33,"&lt;="&amp;'TH T.ứng+thu+chi GPMB nhanh'!$D$6)</f>
        <v>0</v>
      </c>
      <c r="M11" s="41">
        <f t="shared" si="2"/>
        <v>0</v>
      </c>
      <c r="N11" s="41">
        <f t="shared" si="3"/>
        <v>130000000</v>
      </c>
      <c r="O11" s="41">
        <f t="shared" si="0"/>
        <v>80000000</v>
      </c>
      <c r="P11" s="41">
        <f t="shared" si="0"/>
        <v>0</v>
      </c>
      <c r="Q11" s="41">
        <f t="shared" si="0"/>
        <v>210000000</v>
      </c>
    </row>
    <row r="12" spans="1:17" x14ac:dyDescent="0.25">
      <c r="A12" s="7"/>
      <c r="B12" s="7">
        <v>140</v>
      </c>
      <c r="C12" s="7">
        <v>240</v>
      </c>
      <c r="D12" s="7" t="str">
        <v>Nguyễn Đức Anh</v>
      </c>
      <c r="E12" s="7" t="str">
        <v>123A</v>
      </c>
      <c r="F12" s="39">
        <f>SUMIFS('9. Thu, chi PABT'!$T$11:$T$33,'9. Thu, chi PABT'!$B$11:$B$33,'TH T.ứng+thu+chi GPMB nhanh'!B12,'9. Thu, chi PABT'!$F$11:$F$33,'TH T.ứng+thu+chi GPMB nhanh'!C12,'9. Thu, chi PABT'!$J$11:$J$33,'TH T.ứng+thu+chi GPMB nhanh'!D12,'9. Thu, chi PABT'!$M$11:$M$33,'TH T.ứng+thu+chi GPMB nhanh'!E12,'9. Thu, chi PABT'!$F$11:$F$33,"&lt;&gt;Tạm ứng",'9. Thu, chi PABT'!$H$11:$H$33,"&lt;&gt;Tạm ứng",'9. Thu, chi PABT'!$R$11:$R$33,"&lt;"&amp;'TH T.ứng+thu+chi GPMB nhanh'!$D$5)</f>
        <v>100000000</v>
      </c>
      <c r="G12" s="39">
        <f>SUMIFS('9. Thu, chi PABT'!$T$11:$T$33,'9. Thu, chi PABT'!$B$11:$B$33,'TH T.ứng+thu+chi GPMB nhanh'!B12,'9. Thu, chi PABT'!$F$11:$F$33,'TH T.ứng+thu+chi GPMB nhanh'!C12,'9. Thu, chi PABT'!$J$11:$J$33,'TH T.ứng+thu+chi GPMB nhanh'!D12,'9. Thu, chi PABT'!$M$11:$M$33,'TH T.ứng+thu+chi GPMB nhanh'!E12,'9. Thu, chi PABT'!$F$11:$F$33,"Tạm ứng",'9. Thu, chi PABT'!$R$11:$R$33,"&lt;"&amp;'TH T.ứng+thu+chi GPMB nhanh'!$D$5)+SUMIFS('9. Thu, chi PABT'!$T$11:$T$33,'9. Thu, chi PABT'!$B$11:$B$33,'TH T.ứng+thu+chi GPMB nhanh'!B12,'9. Thu, chi PABT'!$F$11:$F$33,'TH T.ứng+thu+chi GPMB nhanh'!C12,'9. Thu, chi PABT'!$J$11:$J$33,'TH T.ứng+thu+chi GPMB nhanh'!D12,'9. Thu, chi PABT'!$M$11:$M$33,'TH T.ứng+thu+chi GPMB nhanh'!E12,'9. Thu, chi PABT'!$H$11:$H$33,"Tạm ứng",'9. Thu, chi PABT'!$R$11:$R$33,"&lt;"&amp;'TH T.ứng+thu+chi GPMB nhanh'!$D$5)</f>
        <v>0</v>
      </c>
      <c r="H12" s="39">
        <f>SUMIFS('9. Thu, chi PABT'!$U$11:$U$33,'9. Thu, chi PABT'!$B$11:$B$33,'TH T.ứng+thu+chi GPMB nhanh'!B12,'9. Thu, chi PABT'!$F$11:$F$33,'TH T.ứng+thu+chi GPMB nhanh'!C12,'9. Thu, chi PABT'!$J$11:$J$33,'TH T.ứng+thu+chi GPMB nhanh'!D12,'9. Thu, chi PABT'!$M$11:$M$33,'TH T.ứng+thu+chi GPMB nhanh'!E12,'9. Thu, chi PABT'!$F$11:$F$33,"&lt;&gt;Tạm ứng",'9. Thu, chi PABT'!$H$11:$H$33,"&lt;&gt;Tạm ứng",'9. Thu, chi PABT'!$R$11:$R$33,"&lt;"&amp;'TH T.ứng+thu+chi GPMB nhanh'!$D$5)</f>
        <v>10000000</v>
      </c>
      <c r="I12" s="41">
        <f t="shared" si="1"/>
        <v>90000000</v>
      </c>
      <c r="J12" s="39">
        <f>SUMIFS('9. Thu, chi PABT'!$T$11:$T$33,'9. Thu, chi PABT'!$B$11:$B$33,'TH T.ứng+thu+chi GPMB nhanh'!B12,'9. Thu, chi PABT'!$F$11:$F$33,'TH T.ứng+thu+chi GPMB nhanh'!C12,'9. Thu, chi PABT'!$J$11:$J$33,'TH T.ứng+thu+chi GPMB nhanh'!D12,'9. Thu, chi PABT'!$M$11:$M$33,'TH T.ứng+thu+chi GPMB nhanh'!E12,'9. Thu, chi PABT'!$F$11:$F$33,"&lt;&gt;Tạm ứng",'9. Thu, chi PABT'!$H$11:$H$33,"&lt;&gt;Tạm ứng",'9. Thu, chi PABT'!$R$11:$R$33,"&gt;="&amp;'TH T.ứng+thu+chi GPMB nhanh'!$D$5,'9. Thu, chi PABT'!$R$11:$R$33,"&lt;="&amp;'TH T.ứng+thu+chi GPMB nhanh'!$D$6)</f>
        <v>0</v>
      </c>
      <c r="K12" s="39">
        <f>SUMIFS('9. Thu, chi PABT'!$T$11:$T$33,'9. Thu, chi PABT'!$B$11:$B$33,'TH T.ứng+thu+chi GPMB nhanh'!B12,'9. Thu, chi PABT'!$F$11:$F$33,'TH T.ứng+thu+chi GPMB nhanh'!C12,'9. Thu, chi PABT'!$J$11:$J$33,'TH T.ứng+thu+chi GPMB nhanh'!D12,'9. Thu, chi PABT'!$M$11:$M$33,'TH T.ứng+thu+chi GPMB nhanh'!E12,'9. Thu, chi PABT'!$F$11:$F$33,"Tạm ứng",'9. Thu, chi PABT'!$R$11:$R$33,"&gt;="&amp;'TH T.ứng+thu+chi GPMB nhanh'!$D$5,'9. Thu, chi PABT'!$R$11:$R$33,"&lt;="&amp;'TH T.ứng+thu+chi GPMB nhanh'!$D$6)+SUMIFS('9. Thu, chi PABT'!$T$11:$T$33,'9. Thu, chi PABT'!$B$11:$B$33,'TH T.ứng+thu+chi GPMB nhanh'!B12,'9. Thu, chi PABT'!$F$11:$F$33,'TH T.ứng+thu+chi GPMB nhanh'!C12,'9. Thu, chi PABT'!$J$11:$J$33,'TH T.ứng+thu+chi GPMB nhanh'!D12,'9. Thu, chi PABT'!$M$11:$M$33,'TH T.ứng+thu+chi GPMB nhanh'!E12,'9. Thu, chi PABT'!$H$11:$H$33,"Tạm ứng",'9. Thu, chi PABT'!$R$11:$R$33,"&gt;="&amp;'TH T.ứng+thu+chi GPMB nhanh'!$D$5,'9. Thu, chi PABT'!$R$11:$R$33,"&lt;="&amp;'TH T.ứng+thu+chi GPMB nhanh'!$D$6)</f>
        <v>0</v>
      </c>
      <c r="L12" s="39">
        <f>SUMIFS('9. Thu, chi PABT'!$U$11:$U$33,'9. Thu, chi PABT'!$B$11:$B$33,'TH T.ứng+thu+chi GPMB nhanh'!B12,'9. Thu, chi PABT'!$F$11:$F$33,'TH T.ứng+thu+chi GPMB nhanh'!C12,'9. Thu, chi PABT'!$J$11:$J$33,'TH T.ứng+thu+chi GPMB nhanh'!D12,'9. Thu, chi PABT'!$M$11:$M$33,'TH T.ứng+thu+chi GPMB nhanh'!E12,'9. Thu, chi PABT'!$F$11:$F$33,"&lt;&gt;Tạm ứng",'9. Thu, chi PABT'!$H$11:$H$33,"&lt;&gt;Tạm ứng",'9. Thu, chi PABT'!$R$11:$R$33,"&gt;="&amp;'TH T.ứng+thu+chi GPMB nhanh'!$D$5,'9. Thu, chi PABT'!$R$11:$R$33,"&lt;="&amp;'TH T.ứng+thu+chi GPMB nhanh'!$D$6)</f>
        <v>0</v>
      </c>
      <c r="M12" s="41">
        <f t="shared" si="2"/>
        <v>0</v>
      </c>
      <c r="N12" s="41">
        <f t="shared" si="3"/>
        <v>100000000</v>
      </c>
      <c r="O12" s="41">
        <f t="shared" si="0"/>
        <v>0</v>
      </c>
      <c r="P12" s="41">
        <f t="shared" si="0"/>
        <v>10000000</v>
      </c>
      <c r="Q12" s="41">
        <f t="shared" si="0"/>
        <v>90000000</v>
      </c>
    </row>
    <row r="13" spans="1:17" x14ac:dyDescent="0.25">
      <c r="A13" s="7"/>
      <c r="B13" s="7"/>
      <c r="C13" s="7"/>
      <c r="D13" s="7"/>
      <c r="E13" s="7"/>
      <c r="F13" s="39">
        <f>SUMIFS('9. Thu, chi PABT'!$T$11:$T$33,'9. Thu, chi PABT'!$B$11:$B$33,'TH T.ứng+thu+chi GPMB nhanh'!B13,'9. Thu, chi PABT'!$F$11:$F$33,'TH T.ứng+thu+chi GPMB nhanh'!C13,'9. Thu, chi PABT'!$J$11:$J$33,'TH T.ứng+thu+chi GPMB nhanh'!D13,'9. Thu, chi PABT'!$M$11:$M$33,'TH T.ứng+thu+chi GPMB nhanh'!E13,'9. Thu, chi PABT'!$F$11:$F$33,"&lt;&gt;Tạm ứng",'9. Thu, chi PABT'!$H$11:$H$33,"&lt;&gt;Tạm ứng",'9. Thu, chi PABT'!$R$11:$R$33,"&lt;"&amp;'TH T.ứng+thu+chi GPMB nhanh'!$D$5)</f>
        <v>0</v>
      </c>
      <c r="G13" s="39">
        <f>SUMIFS('9. Thu, chi PABT'!$T$11:$T$33,'9. Thu, chi PABT'!$B$11:$B$33,'TH T.ứng+thu+chi GPMB nhanh'!B13,'9. Thu, chi PABT'!$F$11:$F$33,'TH T.ứng+thu+chi GPMB nhanh'!C13,'9. Thu, chi PABT'!$J$11:$J$33,'TH T.ứng+thu+chi GPMB nhanh'!D13,'9. Thu, chi PABT'!$M$11:$M$33,'TH T.ứng+thu+chi GPMB nhanh'!E13,'9. Thu, chi PABT'!$F$11:$F$33,"Tạm ứng",'9. Thu, chi PABT'!$R$11:$R$33,"&lt;"&amp;'TH T.ứng+thu+chi GPMB nhanh'!$D$5)+SUMIFS('9. Thu, chi PABT'!$T$11:$T$33,'9. Thu, chi PABT'!$B$11:$B$33,'TH T.ứng+thu+chi GPMB nhanh'!B13,'9. Thu, chi PABT'!$F$11:$F$33,'TH T.ứng+thu+chi GPMB nhanh'!C13,'9. Thu, chi PABT'!$J$11:$J$33,'TH T.ứng+thu+chi GPMB nhanh'!D13,'9. Thu, chi PABT'!$M$11:$M$33,'TH T.ứng+thu+chi GPMB nhanh'!E13,'9. Thu, chi PABT'!$H$11:$H$33,"Tạm ứng",'9. Thu, chi PABT'!$R$11:$R$33,"&lt;"&amp;'TH T.ứng+thu+chi GPMB nhanh'!$D$5)</f>
        <v>0</v>
      </c>
      <c r="H13" s="39">
        <f>SUMIFS('9. Thu, chi PABT'!$U$11:$U$33,'9. Thu, chi PABT'!$B$11:$B$33,'TH T.ứng+thu+chi GPMB nhanh'!B13,'9. Thu, chi PABT'!$F$11:$F$33,'TH T.ứng+thu+chi GPMB nhanh'!C13,'9. Thu, chi PABT'!$J$11:$J$33,'TH T.ứng+thu+chi GPMB nhanh'!D13,'9. Thu, chi PABT'!$M$11:$M$33,'TH T.ứng+thu+chi GPMB nhanh'!E13,'9. Thu, chi PABT'!$F$11:$F$33,"&lt;&gt;Tạm ứng",'9. Thu, chi PABT'!$H$11:$H$33,"&lt;&gt;Tạm ứng",'9. Thu, chi PABT'!$R$11:$R$33,"&lt;"&amp;'TH T.ứng+thu+chi GPMB nhanh'!$D$5)</f>
        <v>0</v>
      </c>
      <c r="I13" s="41">
        <f t="shared" si="1"/>
        <v>0</v>
      </c>
      <c r="J13" s="39">
        <f>SUMIFS('9. Thu, chi PABT'!$T$11:$T$33,'9. Thu, chi PABT'!$B$11:$B$33,'TH T.ứng+thu+chi GPMB nhanh'!B13,'9. Thu, chi PABT'!$F$11:$F$33,'TH T.ứng+thu+chi GPMB nhanh'!C13,'9. Thu, chi PABT'!$J$11:$J$33,'TH T.ứng+thu+chi GPMB nhanh'!D13,'9. Thu, chi PABT'!$M$11:$M$33,'TH T.ứng+thu+chi GPMB nhanh'!E13,'9. Thu, chi PABT'!$F$11:$F$33,"&lt;&gt;Tạm ứng",'9. Thu, chi PABT'!$H$11:$H$33,"&lt;&gt;Tạm ứng",'9. Thu, chi PABT'!$R$11:$R$33,"&gt;="&amp;'TH T.ứng+thu+chi GPMB nhanh'!$D$5,'9. Thu, chi PABT'!$R$11:$R$33,"&lt;="&amp;'TH T.ứng+thu+chi GPMB nhanh'!$D$6)</f>
        <v>0</v>
      </c>
      <c r="K13" s="39">
        <f>SUMIFS('9. Thu, chi PABT'!$T$11:$T$33,'9. Thu, chi PABT'!$B$11:$B$33,'TH T.ứng+thu+chi GPMB nhanh'!B13,'9. Thu, chi PABT'!$F$11:$F$33,'TH T.ứng+thu+chi GPMB nhanh'!C13,'9. Thu, chi PABT'!$J$11:$J$33,'TH T.ứng+thu+chi GPMB nhanh'!D13,'9. Thu, chi PABT'!$M$11:$M$33,'TH T.ứng+thu+chi GPMB nhanh'!E13,'9. Thu, chi PABT'!$F$11:$F$33,"Tạm ứng",'9. Thu, chi PABT'!$R$11:$R$33,"&gt;="&amp;'TH T.ứng+thu+chi GPMB nhanh'!$D$5,'9. Thu, chi PABT'!$R$11:$R$33,"&lt;="&amp;'TH T.ứng+thu+chi GPMB nhanh'!$D$6)+SUMIFS('9. Thu, chi PABT'!$T$11:$T$33,'9. Thu, chi PABT'!$B$11:$B$33,'TH T.ứng+thu+chi GPMB nhanh'!B13,'9. Thu, chi PABT'!$F$11:$F$33,'TH T.ứng+thu+chi GPMB nhanh'!C13,'9. Thu, chi PABT'!$J$11:$J$33,'TH T.ứng+thu+chi GPMB nhanh'!D13,'9. Thu, chi PABT'!$M$11:$M$33,'TH T.ứng+thu+chi GPMB nhanh'!E13,'9. Thu, chi PABT'!$H$11:$H$33,"Tạm ứng",'9. Thu, chi PABT'!$R$11:$R$33,"&gt;="&amp;'TH T.ứng+thu+chi GPMB nhanh'!$D$5,'9. Thu, chi PABT'!$R$11:$R$33,"&lt;="&amp;'TH T.ứng+thu+chi GPMB nhanh'!$D$6)</f>
        <v>0</v>
      </c>
      <c r="L13" s="39">
        <f>SUMIFS('9. Thu, chi PABT'!$U$11:$U$33,'9. Thu, chi PABT'!$B$11:$B$33,'TH T.ứng+thu+chi GPMB nhanh'!B13,'9. Thu, chi PABT'!$F$11:$F$33,'TH T.ứng+thu+chi GPMB nhanh'!C13,'9. Thu, chi PABT'!$J$11:$J$33,'TH T.ứng+thu+chi GPMB nhanh'!D13,'9. Thu, chi PABT'!$M$11:$M$33,'TH T.ứng+thu+chi GPMB nhanh'!E13,'9. Thu, chi PABT'!$F$11:$F$33,"&lt;&gt;Tạm ứng",'9. Thu, chi PABT'!$H$11:$H$33,"&lt;&gt;Tạm ứng",'9. Thu, chi PABT'!$R$11:$R$33,"&gt;="&amp;'TH T.ứng+thu+chi GPMB nhanh'!$D$5,'9. Thu, chi PABT'!$R$11:$R$33,"&lt;="&amp;'TH T.ứng+thu+chi GPMB nhanh'!$D$6)</f>
        <v>0</v>
      </c>
      <c r="M13" s="41">
        <f t="shared" si="2"/>
        <v>0</v>
      </c>
      <c r="N13" s="41">
        <f t="shared" si="3"/>
        <v>0</v>
      </c>
      <c r="O13" s="41">
        <f t="shared" si="0"/>
        <v>0</v>
      </c>
      <c r="P13" s="41">
        <f t="shared" si="0"/>
        <v>0</v>
      </c>
      <c r="Q13" s="41">
        <f t="shared" si="0"/>
        <v>0</v>
      </c>
    </row>
    <row r="14" spans="1:17" x14ac:dyDescent="0.25">
      <c r="A14" s="7"/>
      <c r="B14" s="7"/>
      <c r="C14" s="7"/>
      <c r="D14" s="7"/>
      <c r="E14" s="7"/>
      <c r="F14" s="39">
        <f>SUMIFS('9. Thu, chi PABT'!$T$11:$T$33,'9. Thu, chi PABT'!$B$11:$B$33,'TH T.ứng+thu+chi GPMB nhanh'!B14,'9. Thu, chi PABT'!$F$11:$F$33,'TH T.ứng+thu+chi GPMB nhanh'!C14,'9. Thu, chi PABT'!$J$11:$J$33,'TH T.ứng+thu+chi GPMB nhanh'!D14,'9. Thu, chi PABT'!$M$11:$M$33,'TH T.ứng+thu+chi GPMB nhanh'!E14,'9. Thu, chi PABT'!$F$11:$F$33,"&lt;&gt;Tạm ứng",'9. Thu, chi PABT'!$H$11:$H$33,"&lt;&gt;Tạm ứng",'9. Thu, chi PABT'!$R$11:$R$33,"&lt;"&amp;'TH T.ứng+thu+chi GPMB nhanh'!$D$5)</f>
        <v>0</v>
      </c>
      <c r="G14" s="39">
        <f>SUMIFS('9. Thu, chi PABT'!$T$11:$T$33,'9. Thu, chi PABT'!$B$11:$B$33,'TH T.ứng+thu+chi GPMB nhanh'!B14,'9. Thu, chi PABT'!$F$11:$F$33,'TH T.ứng+thu+chi GPMB nhanh'!C14,'9. Thu, chi PABT'!$J$11:$J$33,'TH T.ứng+thu+chi GPMB nhanh'!D14,'9. Thu, chi PABT'!$M$11:$M$33,'TH T.ứng+thu+chi GPMB nhanh'!E14,'9. Thu, chi PABT'!$F$11:$F$33,"Tạm ứng",'9. Thu, chi PABT'!$R$11:$R$33,"&lt;"&amp;'TH T.ứng+thu+chi GPMB nhanh'!$D$5)+SUMIFS('9. Thu, chi PABT'!$T$11:$T$33,'9. Thu, chi PABT'!$B$11:$B$33,'TH T.ứng+thu+chi GPMB nhanh'!B14,'9. Thu, chi PABT'!$F$11:$F$33,'TH T.ứng+thu+chi GPMB nhanh'!C14,'9. Thu, chi PABT'!$J$11:$J$33,'TH T.ứng+thu+chi GPMB nhanh'!D14,'9. Thu, chi PABT'!$M$11:$M$33,'TH T.ứng+thu+chi GPMB nhanh'!E14,'9. Thu, chi PABT'!$H$11:$H$33,"Tạm ứng",'9. Thu, chi PABT'!$R$11:$R$33,"&lt;"&amp;'TH T.ứng+thu+chi GPMB nhanh'!$D$5)</f>
        <v>0</v>
      </c>
      <c r="H14" s="39">
        <f>SUMIFS('9. Thu, chi PABT'!$U$11:$U$33,'9. Thu, chi PABT'!$B$11:$B$33,'TH T.ứng+thu+chi GPMB nhanh'!B14,'9. Thu, chi PABT'!$F$11:$F$33,'TH T.ứng+thu+chi GPMB nhanh'!C14,'9. Thu, chi PABT'!$J$11:$J$33,'TH T.ứng+thu+chi GPMB nhanh'!D14,'9. Thu, chi PABT'!$M$11:$M$33,'TH T.ứng+thu+chi GPMB nhanh'!E14,'9. Thu, chi PABT'!$F$11:$F$33,"&lt;&gt;Tạm ứng",'9. Thu, chi PABT'!$H$11:$H$33,"&lt;&gt;Tạm ứng",'9. Thu, chi PABT'!$R$11:$R$33,"&lt;"&amp;'TH T.ứng+thu+chi GPMB nhanh'!$D$5)</f>
        <v>0</v>
      </c>
      <c r="I14" s="41">
        <f t="shared" si="1"/>
        <v>0</v>
      </c>
      <c r="J14" s="39">
        <f>SUMIFS('9. Thu, chi PABT'!$T$11:$T$33,'9. Thu, chi PABT'!$B$11:$B$33,'TH T.ứng+thu+chi GPMB nhanh'!B14,'9. Thu, chi PABT'!$F$11:$F$33,'TH T.ứng+thu+chi GPMB nhanh'!C14,'9. Thu, chi PABT'!$J$11:$J$33,'TH T.ứng+thu+chi GPMB nhanh'!D14,'9. Thu, chi PABT'!$M$11:$M$33,'TH T.ứng+thu+chi GPMB nhanh'!E14,'9. Thu, chi PABT'!$F$11:$F$33,"&lt;&gt;Tạm ứng",'9. Thu, chi PABT'!$H$11:$H$33,"&lt;&gt;Tạm ứng",'9. Thu, chi PABT'!$R$11:$R$33,"&gt;="&amp;'TH T.ứng+thu+chi GPMB nhanh'!$D$5,'9. Thu, chi PABT'!$R$11:$R$33,"&lt;="&amp;'TH T.ứng+thu+chi GPMB nhanh'!$D$6)</f>
        <v>0</v>
      </c>
      <c r="K14" s="39">
        <f>SUMIFS('9. Thu, chi PABT'!$T$11:$T$33,'9. Thu, chi PABT'!$B$11:$B$33,'TH T.ứng+thu+chi GPMB nhanh'!B14,'9. Thu, chi PABT'!$F$11:$F$33,'TH T.ứng+thu+chi GPMB nhanh'!C14,'9. Thu, chi PABT'!$J$11:$J$33,'TH T.ứng+thu+chi GPMB nhanh'!D14,'9. Thu, chi PABT'!$M$11:$M$33,'TH T.ứng+thu+chi GPMB nhanh'!E14,'9. Thu, chi PABT'!$F$11:$F$33,"Tạm ứng",'9. Thu, chi PABT'!$R$11:$R$33,"&gt;="&amp;'TH T.ứng+thu+chi GPMB nhanh'!$D$5,'9. Thu, chi PABT'!$R$11:$R$33,"&lt;="&amp;'TH T.ứng+thu+chi GPMB nhanh'!$D$6)+SUMIFS('9. Thu, chi PABT'!$T$11:$T$33,'9. Thu, chi PABT'!$B$11:$B$33,'TH T.ứng+thu+chi GPMB nhanh'!B14,'9. Thu, chi PABT'!$F$11:$F$33,'TH T.ứng+thu+chi GPMB nhanh'!C14,'9. Thu, chi PABT'!$J$11:$J$33,'TH T.ứng+thu+chi GPMB nhanh'!D14,'9. Thu, chi PABT'!$M$11:$M$33,'TH T.ứng+thu+chi GPMB nhanh'!E14,'9. Thu, chi PABT'!$H$11:$H$33,"Tạm ứng",'9. Thu, chi PABT'!$R$11:$R$33,"&gt;="&amp;'TH T.ứng+thu+chi GPMB nhanh'!$D$5,'9. Thu, chi PABT'!$R$11:$R$33,"&lt;="&amp;'TH T.ứng+thu+chi GPMB nhanh'!$D$6)</f>
        <v>0</v>
      </c>
      <c r="L14" s="39">
        <f>SUMIFS('9. Thu, chi PABT'!$U$11:$U$33,'9. Thu, chi PABT'!$B$11:$B$33,'TH T.ứng+thu+chi GPMB nhanh'!B14,'9. Thu, chi PABT'!$F$11:$F$33,'TH T.ứng+thu+chi GPMB nhanh'!C14,'9. Thu, chi PABT'!$J$11:$J$33,'TH T.ứng+thu+chi GPMB nhanh'!D14,'9. Thu, chi PABT'!$M$11:$M$33,'TH T.ứng+thu+chi GPMB nhanh'!E14,'9. Thu, chi PABT'!$F$11:$F$33,"&lt;&gt;Tạm ứng",'9. Thu, chi PABT'!$H$11:$H$33,"&lt;&gt;Tạm ứng",'9. Thu, chi PABT'!$R$11:$R$33,"&gt;="&amp;'TH T.ứng+thu+chi GPMB nhanh'!$D$5,'9. Thu, chi PABT'!$R$11:$R$33,"&lt;="&amp;'TH T.ứng+thu+chi GPMB nhanh'!$D$6)</f>
        <v>0</v>
      </c>
      <c r="M14" s="41">
        <f t="shared" si="2"/>
        <v>0</v>
      </c>
      <c r="N14" s="41">
        <f t="shared" si="3"/>
        <v>0</v>
      </c>
      <c r="O14" s="41">
        <f t="shared" si="0"/>
        <v>0</v>
      </c>
      <c r="P14" s="41">
        <f t="shared" si="0"/>
        <v>0</v>
      </c>
      <c r="Q14" s="41">
        <f t="shared" si="0"/>
        <v>0</v>
      </c>
    </row>
    <row r="15" spans="1:17" x14ac:dyDescent="0.25">
      <c r="A15" s="7"/>
      <c r="B15" s="7"/>
      <c r="C15" s="7"/>
      <c r="D15" s="7"/>
      <c r="E15" s="7"/>
      <c r="F15" s="39">
        <f>SUMIFS('9. Thu, chi PABT'!$T$11:$T$33,'9. Thu, chi PABT'!$B$11:$B$33,'TH T.ứng+thu+chi GPMB nhanh'!B15,'9. Thu, chi PABT'!$F$11:$F$33,'TH T.ứng+thu+chi GPMB nhanh'!C15,'9. Thu, chi PABT'!$J$11:$J$33,'TH T.ứng+thu+chi GPMB nhanh'!D15,'9. Thu, chi PABT'!$M$11:$M$33,'TH T.ứng+thu+chi GPMB nhanh'!E15,'9. Thu, chi PABT'!$F$11:$F$33,"&lt;&gt;Tạm ứng",'9. Thu, chi PABT'!$H$11:$H$33,"&lt;&gt;Tạm ứng",'9. Thu, chi PABT'!$R$11:$R$33,"&lt;"&amp;'TH T.ứng+thu+chi GPMB nhanh'!$D$5)</f>
        <v>0</v>
      </c>
      <c r="G15" s="39">
        <f>SUMIFS('9. Thu, chi PABT'!$T$11:$T$33,'9. Thu, chi PABT'!$B$11:$B$33,'TH T.ứng+thu+chi GPMB nhanh'!B15,'9. Thu, chi PABT'!$F$11:$F$33,'TH T.ứng+thu+chi GPMB nhanh'!C15,'9. Thu, chi PABT'!$J$11:$J$33,'TH T.ứng+thu+chi GPMB nhanh'!D15,'9. Thu, chi PABT'!$M$11:$M$33,'TH T.ứng+thu+chi GPMB nhanh'!E15,'9. Thu, chi PABT'!$F$11:$F$33,"Tạm ứng",'9. Thu, chi PABT'!$R$11:$R$33,"&lt;"&amp;'TH T.ứng+thu+chi GPMB nhanh'!$D$5)+SUMIFS('9. Thu, chi PABT'!$T$11:$T$33,'9. Thu, chi PABT'!$B$11:$B$33,'TH T.ứng+thu+chi GPMB nhanh'!B15,'9. Thu, chi PABT'!$F$11:$F$33,'TH T.ứng+thu+chi GPMB nhanh'!C15,'9. Thu, chi PABT'!$J$11:$J$33,'TH T.ứng+thu+chi GPMB nhanh'!D15,'9. Thu, chi PABT'!$M$11:$M$33,'TH T.ứng+thu+chi GPMB nhanh'!E15,'9. Thu, chi PABT'!$H$11:$H$33,"Tạm ứng",'9. Thu, chi PABT'!$R$11:$R$33,"&lt;"&amp;'TH T.ứng+thu+chi GPMB nhanh'!$D$5)</f>
        <v>0</v>
      </c>
      <c r="H15" s="39">
        <f>SUMIFS('9. Thu, chi PABT'!$U$11:$U$33,'9. Thu, chi PABT'!$B$11:$B$33,'TH T.ứng+thu+chi GPMB nhanh'!B15,'9. Thu, chi PABT'!$F$11:$F$33,'TH T.ứng+thu+chi GPMB nhanh'!C15,'9. Thu, chi PABT'!$J$11:$J$33,'TH T.ứng+thu+chi GPMB nhanh'!D15,'9. Thu, chi PABT'!$M$11:$M$33,'TH T.ứng+thu+chi GPMB nhanh'!E15,'9. Thu, chi PABT'!$F$11:$F$33,"&lt;&gt;Tạm ứng",'9. Thu, chi PABT'!$H$11:$H$33,"&lt;&gt;Tạm ứng",'9. Thu, chi PABT'!$R$11:$R$33,"&lt;"&amp;'TH T.ứng+thu+chi GPMB nhanh'!$D$5)</f>
        <v>0</v>
      </c>
      <c r="I15" s="41">
        <f t="shared" si="1"/>
        <v>0</v>
      </c>
      <c r="J15" s="39">
        <f>SUMIFS('9. Thu, chi PABT'!$T$11:$T$33,'9. Thu, chi PABT'!$B$11:$B$33,'TH T.ứng+thu+chi GPMB nhanh'!B15,'9. Thu, chi PABT'!$F$11:$F$33,'TH T.ứng+thu+chi GPMB nhanh'!C15,'9. Thu, chi PABT'!$J$11:$J$33,'TH T.ứng+thu+chi GPMB nhanh'!D15,'9. Thu, chi PABT'!$M$11:$M$33,'TH T.ứng+thu+chi GPMB nhanh'!E15,'9. Thu, chi PABT'!$F$11:$F$33,"&lt;&gt;Tạm ứng",'9. Thu, chi PABT'!$H$11:$H$33,"&lt;&gt;Tạm ứng",'9. Thu, chi PABT'!$R$11:$R$33,"&gt;="&amp;'TH T.ứng+thu+chi GPMB nhanh'!$D$5,'9. Thu, chi PABT'!$R$11:$R$33,"&lt;="&amp;'TH T.ứng+thu+chi GPMB nhanh'!$D$6)</f>
        <v>0</v>
      </c>
      <c r="K15" s="39">
        <f>SUMIFS('9. Thu, chi PABT'!$T$11:$T$33,'9. Thu, chi PABT'!$B$11:$B$33,'TH T.ứng+thu+chi GPMB nhanh'!B15,'9. Thu, chi PABT'!$F$11:$F$33,'TH T.ứng+thu+chi GPMB nhanh'!C15,'9. Thu, chi PABT'!$J$11:$J$33,'TH T.ứng+thu+chi GPMB nhanh'!D15,'9. Thu, chi PABT'!$M$11:$M$33,'TH T.ứng+thu+chi GPMB nhanh'!E15,'9. Thu, chi PABT'!$F$11:$F$33,"Tạm ứng",'9. Thu, chi PABT'!$R$11:$R$33,"&gt;="&amp;'TH T.ứng+thu+chi GPMB nhanh'!$D$5,'9. Thu, chi PABT'!$R$11:$R$33,"&lt;="&amp;'TH T.ứng+thu+chi GPMB nhanh'!$D$6)+SUMIFS('9. Thu, chi PABT'!$T$11:$T$33,'9. Thu, chi PABT'!$B$11:$B$33,'TH T.ứng+thu+chi GPMB nhanh'!B15,'9. Thu, chi PABT'!$F$11:$F$33,'TH T.ứng+thu+chi GPMB nhanh'!C15,'9. Thu, chi PABT'!$J$11:$J$33,'TH T.ứng+thu+chi GPMB nhanh'!D15,'9. Thu, chi PABT'!$M$11:$M$33,'TH T.ứng+thu+chi GPMB nhanh'!E15,'9. Thu, chi PABT'!$H$11:$H$33,"Tạm ứng",'9. Thu, chi PABT'!$R$11:$R$33,"&gt;="&amp;'TH T.ứng+thu+chi GPMB nhanh'!$D$5,'9. Thu, chi PABT'!$R$11:$R$33,"&lt;="&amp;'TH T.ứng+thu+chi GPMB nhanh'!$D$6)</f>
        <v>0</v>
      </c>
      <c r="L15" s="39">
        <f>SUMIFS('9. Thu, chi PABT'!$U$11:$U$33,'9. Thu, chi PABT'!$B$11:$B$33,'TH T.ứng+thu+chi GPMB nhanh'!B15,'9. Thu, chi PABT'!$F$11:$F$33,'TH T.ứng+thu+chi GPMB nhanh'!C15,'9. Thu, chi PABT'!$J$11:$J$33,'TH T.ứng+thu+chi GPMB nhanh'!D15,'9. Thu, chi PABT'!$M$11:$M$33,'TH T.ứng+thu+chi GPMB nhanh'!E15,'9. Thu, chi PABT'!$F$11:$F$33,"&lt;&gt;Tạm ứng",'9. Thu, chi PABT'!$H$11:$H$33,"&lt;&gt;Tạm ứng",'9. Thu, chi PABT'!$R$11:$R$33,"&gt;="&amp;'TH T.ứng+thu+chi GPMB nhanh'!$D$5,'9. Thu, chi PABT'!$R$11:$R$33,"&lt;="&amp;'TH T.ứng+thu+chi GPMB nhanh'!$D$6)</f>
        <v>0</v>
      </c>
      <c r="M15" s="41">
        <f t="shared" si="2"/>
        <v>0</v>
      </c>
      <c r="N15" s="41">
        <f t="shared" si="3"/>
        <v>0</v>
      </c>
      <c r="O15" s="41">
        <f t="shared" si="0"/>
        <v>0</v>
      </c>
      <c r="P15" s="41">
        <f t="shared" si="0"/>
        <v>0</v>
      </c>
      <c r="Q15" s="41">
        <f t="shared" si="0"/>
        <v>0</v>
      </c>
    </row>
    <row r="16" spans="1:17" x14ac:dyDescent="0.25">
      <c r="A16" s="7"/>
      <c r="B16" s="7"/>
      <c r="C16" s="7"/>
      <c r="D16" s="7"/>
      <c r="E16" s="7"/>
      <c r="F16" s="39">
        <f>SUMIFS('9. Thu, chi PABT'!$T$11:$T$33,'9. Thu, chi PABT'!$B$11:$B$33,'TH T.ứng+thu+chi GPMB nhanh'!B16,'9. Thu, chi PABT'!$F$11:$F$33,'TH T.ứng+thu+chi GPMB nhanh'!C16,'9. Thu, chi PABT'!$J$11:$J$33,'TH T.ứng+thu+chi GPMB nhanh'!D16,'9. Thu, chi PABT'!$M$11:$M$33,'TH T.ứng+thu+chi GPMB nhanh'!E16,'9. Thu, chi PABT'!$F$11:$F$33,"&lt;&gt;Tạm ứng",'9. Thu, chi PABT'!$H$11:$H$33,"&lt;&gt;Tạm ứng",'9. Thu, chi PABT'!$R$11:$R$33,"&lt;"&amp;'TH T.ứng+thu+chi GPMB nhanh'!$D$5)</f>
        <v>0</v>
      </c>
      <c r="G16" s="39">
        <f>SUMIFS('9. Thu, chi PABT'!$T$11:$T$33,'9. Thu, chi PABT'!$B$11:$B$33,'TH T.ứng+thu+chi GPMB nhanh'!B16,'9. Thu, chi PABT'!$F$11:$F$33,'TH T.ứng+thu+chi GPMB nhanh'!C16,'9. Thu, chi PABT'!$J$11:$J$33,'TH T.ứng+thu+chi GPMB nhanh'!D16,'9. Thu, chi PABT'!$M$11:$M$33,'TH T.ứng+thu+chi GPMB nhanh'!E16,'9. Thu, chi PABT'!$F$11:$F$33,"Tạm ứng",'9. Thu, chi PABT'!$R$11:$R$33,"&lt;"&amp;'TH T.ứng+thu+chi GPMB nhanh'!$D$5)+SUMIFS('9. Thu, chi PABT'!$T$11:$T$33,'9. Thu, chi PABT'!$B$11:$B$33,'TH T.ứng+thu+chi GPMB nhanh'!B16,'9. Thu, chi PABT'!$F$11:$F$33,'TH T.ứng+thu+chi GPMB nhanh'!C16,'9. Thu, chi PABT'!$J$11:$J$33,'TH T.ứng+thu+chi GPMB nhanh'!D16,'9. Thu, chi PABT'!$M$11:$M$33,'TH T.ứng+thu+chi GPMB nhanh'!E16,'9. Thu, chi PABT'!$H$11:$H$33,"Tạm ứng",'9. Thu, chi PABT'!$R$11:$R$33,"&lt;"&amp;'TH T.ứng+thu+chi GPMB nhanh'!$D$5)</f>
        <v>0</v>
      </c>
      <c r="H16" s="39">
        <f>SUMIFS('9. Thu, chi PABT'!$U$11:$U$33,'9. Thu, chi PABT'!$B$11:$B$33,'TH T.ứng+thu+chi GPMB nhanh'!B16,'9. Thu, chi PABT'!$F$11:$F$33,'TH T.ứng+thu+chi GPMB nhanh'!C16,'9. Thu, chi PABT'!$J$11:$J$33,'TH T.ứng+thu+chi GPMB nhanh'!D16,'9. Thu, chi PABT'!$M$11:$M$33,'TH T.ứng+thu+chi GPMB nhanh'!E16,'9. Thu, chi PABT'!$F$11:$F$33,"&lt;&gt;Tạm ứng",'9. Thu, chi PABT'!$H$11:$H$33,"&lt;&gt;Tạm ứng",'9. Thu, chi PABT'!$R$11:$R$33,"&lt;"&amp;'TH T.ứng+thu+chi GPMB nhanh'!$D$5)</f>
        <v>0</v>
      </c>
      <c r="I16" s="41">
        <f t="shared" si="1"/>
        <v>0</v>
      </c>
      <c r="J16" s="39">
        <f>SUMIFS('9. Thu, chi PABT'!$T$11:$T$33,'9. Thu, chi PABT'!$B$11:$B$33,'TH T.ứng+thu+chi GPMB nhanh'!B16,'9. Thu, chi PABT'!$F$11:$F$33,'TH T.ứng+thu+chi GPMB nhanh'!C16,'9. Thu, chi PABT'!$J$11:$J$33,'TH T.ứng+thu+chi GPMB nhanh'!D16,'9. Thu, chi PABT'!$M$11:$M$33,'TH T.ứng+thu+chi GPMB nhanh'!E16,'9. Thu, chi PABT'!$F$11:$F$33,"&lt;&gt;Tạm ứng",'9. Thu, chi PABT'!$H$11:$H$33,"&lt;&gt;Tạm ứng",'9. Thu, chi PABT'!$R$11:$R$33,"&gt;="&amp;'TH T.ứng+thu+chi GPMB nhanh'!$D$5,'9. Thu, chi PABT'!$R$11:$R$33,"&lt;="&amp;'TH T.ứng+thu+chi GPMB nhanh'!$D$6)</f>
        <v>0</v>
      </c>
      <c r="K16" s="39">
        <f>SUMIFS('9. Thu, chi PABT'!$T$11:$T$33,'9. Thu, chi PABT'!$B$11:$B$33,'TH T.ứng+thu+chi GPMB nhanh'!B16,'9. Thu, chi PABT'!$F$11:$F$33,'TH T.ứng+thu+chi GPMB nhanh'!C16,'9. Thu, chi PABT'!$J$11:$J$33,'TH T.ứng+thu+chi GPMB nhanh'!D16,'9. Thu, chi PABT'!$M$11:$M$33,'TH T.ứng+thu+chi GPMB nhanh'!E16,'9. Thu, chi PABT'!$F$11:$F$33,"Tạm ứng",'9. Thu, chi PABT'!$R$11:$R$33,"&gt;="&amp;'TH T.ứng+thu+chi GPMB nhanh'!$D$5,'9. Thu, chi PABT'!$R$11:$R$33,"&lt;="&amp;'TH T.ứng+thu+chi GPMB nhanh'!$D$6)+SUMIFS('9. Thu, chi PABT'!$T$11:$T$33,'9. Thu, chi PABT'!$B$11:$B$33,'TH T.ứng+thu+chi GPMB nhanh'!B16,'9. Thu, chi PABT'!$F$11:$F$33,'TH T.ứng+thu+chi GPMB nhanh'!C16,'9. Thu, chi PABT'!$J$11:$J$33,'TH T.ứng+thu+chi GPMB nhanh'!D16,'9. Thu, chi PABT'!$M$11:$M$33,'TH T.ứng+thu+chi GPMB nhanh'!E16,'9. Thu, chi PABT'!$H$11:$H$33,"Tạm ứng",'9. Thu, chi PABT'!$R$11:$R$33,"&gt;="&amp;'TH T.ứng+thu+chi GPMB nhanh'!$D$5,'9. Thu, chi PABT'!$R$11:$R$33,"&lt;="&amp;'TH T.ứng+thu+chi GPMB nhanh'!$D$6)</f>
        <v>0</v>
      </c>
      <c r="L16" s="39">
        <f>SUMIFS('9. Thu, chi PABT'!$U$11:$U$33,'9. Thu, chi PABT'!$B$11:$B$33,'TH T.ứng+thu+chi GPMB nhanh'!B16,'9. Thu, chi PABT'!$F$11:$F$33,'TH T.ứng+thu+chi GPMB nhanh'!C16,'9. Thu, chi PABT'!$J$11:$J$33,'TH T.ứng+thu+chi GPMB nhanh'!D16,'9. Thu, chi PABT'!$M$11:$M$33,'TH T.ứng+thu+chi GPMB nhanh'!E16,'9. Thu, chi PABT'!$F$11:$F$33,"&lt;&gt;Tạm ứng",'9. Thu, chi PABT'!$H$11:$H$33,"&lt;&gt;Tạm ứng",'9. Thu, chi PABT'!$R$11:$R$33,"&gt;="&amp;'TH T.ứng+thu+chi GPMB nhanh'!$D$5,'9. Thu, chi PABT'!$R$11:$R$33,"&lt;="&amp;'TH T.ứng+thu+chi GPMB nhanh'!$D$6)</f>
        <v>0</v>
      </c>
      <c r="M16" s="41">
        <f t="shared" si="2"/>
        <v>0</v>
      </c>
      <c r="N16" s="41">
        <f t="shared" si="3"/>
        <v>0</v>
      </c>
      <c r="O16" s="41">
        <f t="shared" si="0"/>
        <v>0</v>
      </c>
      <c r="P16" s="41">
        <f t="shared" si="0"/>
        <v>0</v>
      </c>
      <c r="Q16" s="41">
        <f t="shared" si="0"/>
        <v>0</v>
      </c>
    </row>
    <row r="17" spans="1:17" x14ac:dyDescent="0.25">
      <c r="A17" s="7"/>
      <c r="B17" s="7"/>
      <c r="C17" s="7"/>
      <c r="D17" s="7"/>
      <c r="E17" s="7"/>
      <c r="F17" s="39">
        <f>SUMIFS('9. Thu, chi PABT'!$T$11:$T$33,'9. Thu, chi PABT'!$B$11:$B$33,'TH T.ứng+thu+chi GPMB nhanh'!B17,'9. Thu, chi PABT'!$F$11:$F$33,'TH T.ứng+thu+chi GPMB nhanh'!C17,'9. Thu, chi PABT'!$J$11:$J$33,'TH T.ứng+thu+chi GPMB nhanh'!D17,'9. Thu, chi PABT'!$M$11:$M$33,'TH T.ứng+thu+chi GPMB nhanh'!E17,'9. Thu, chi PABT'!$F$11:$F$33,"&lt;&gt;Tạm ứng",'9. Thu, chi PABT'!$H$11:$H$33,"&lt;&gt;Tạm ứng",'9. Thu, chi PABT'!$R$11:$R$33,"&lt;"&amp;'TH T.ứng+thu+chi GPMB nhanh'!$D$5)</f>
        <v>0</v>
      </c>
      <c r="G17" s="39">
        <f>SUMIFS('9. Thu, chi PABT'!$T$11:$T$33,'9. Thu, chi PABT'!$B$11:$B$33,'TH T.ứng+thu+chi GPMB nhanh'!B17,'9. Thu, chi PABT'!$F$11:$F$33,'TH T.ứng+thu+chi GPMB nhanh'!C17,'9. Thu, chi PABT'!$J$11:$J$33,'TH T.ứng+thu+chi GPMB nhanh'!D17,'9. Thu, chi PABT'!$M$11:$M$33,'TH T.ứng+thu+chi GPMB nhanh'!E17,'9. Thu, chi PABT'!$F$11:$F$33,"Tạm ứng",'9. Thu, chi PABT'!$R$11:$R$33,"&lt;"&amp;'TH T.ứng+thu+chi GPMB nhanh'!$D$5)+SUMIFS('9. Thu, chi PABT'!$T$11:$T$33,'9. Thu, chi PABT'!$B$11:$B$33,'TH T.ứng+thu+chi GPMB nhanh'!B17,'9. Thu, chi PABT'!$F$11:$F$33,'TH T.ứng+thu+chi GPMB nhanh'!C17,'9. Thu, chi PABT'!$J$11:$J$33,'TH T.ứng+thu+chi GPMB nhanh'!D17,'9. Thu, chi PABT'!$M$11:$M$33,'TH T.ứng+thu+chi GPMB nhanh'!E17,'9. Thu, chi PABT'!$H$11:$H$33,"Tạm ứng",'9. Thu, chi PABT'!$R$11:$R$33,"&lt;"&amp;'TH T.ứng+thu+chi GPMB nhanh'!$D$5)</f>
        <v>0</v>
      </c>
      <c r="H17" s="39">
        <f>SUMIFS('9. Thu, chi PABT'!$U$11:$U$33,'9. Thu, chi PABT'!$B$11:$B$33,'TH T.ứng+thu+chi GPMB nhanh'!B17,'9. Thu, chi PABT'!$F$11:$F$33,'TH T.ứng+thu+chi GPMB nhanh'!C17,'9. Thu, chi PABT'!$J$11:$J$33,'TH T.ứng+thu+chi GPMB nhanh'!D17,'9. Thu, chi PABT'!$M$11:$M$33,'TH T.ứng+thu+chi GPMB nhanh'!E17,'9. Thu, chi PABT'!$F$11:$F$33,"&lt;&gt;Tạm ứng",'9. Thu, chi PABT'!$H$11:$H$33,"&lt;&gt;Tạm ứng",'9. Thu, chi PABT'!$R$11:$R$33,"&lt;"&amp;'TH T.ứng+thu+chi GPMB nhanh'!$D$5)</f>
        <v>0</v>
      </c>
      <c r="I17" s="41">
        <f t="shared" si="1"/>
        <v>0</v>
      </c>
      <c r="J17" s="39">
        <f>SUMIFS('9. Thu, chi PABT'!$T$11:$T$33,'9. Thu, chi PABT'!$B$11:$B$33,'TH T.ứng+thu+chi GPMB nhanh'!B17,'9. Thu, chi PABT'!$F$11:$F$33,'TH T.ứng+thu+chi GPMB nhanh'!C17,'9. Thu, chi PABT'!$J$11:$J$33,'TH T.ứng+thu+chi GPMB nhanh'!D17,'9. Thu, chi PABT'!$M$11:$M$33,'TH T.ứng+thu+chi GPMB nhanh'!E17,'9. Thu, chi PABT'!$F$11:$F$33,"&lt;&gt;Tạm ứng",'9. Thu, chi PABT'!$H$11:$H$33,"&lt;&gt;Tạm ứng",'9. Thu, chi PABT'!$R$11:$R$33,"&gt;="&amp;'TH T.ứng+thu+chi GPMB nhanh'!$D$5,'9. Thu, chi PABT'!$R$11:$R$33,"&lt;="&amp;'TH T.ứng+thu+chi GPMB nhanh'!$D$6)</f>
        <v>0</v>
      </c>
      <c r="K17" s="39">
        <f>SUMIFS('9. Thu, chi PABT'!$T$11:$T$33,'9. Thu, chi PABT'!$B$11:$B$33,'TH T.ứng+thu+chi GPMB nhanh'!B17,'9. Thu, chi PABT'!$F$11:$F$33,'TH T.ứng+thu+chi GPMB nhanh'!C17,'9. Thu, chi PABT'!$J$11:$J$33,'TH T.ứng+thu+chi GPMB nhanh'!D17,'9. Thu, chi PABT'!$M$11:$M$33,'TH T.ứng+thu+chi GPMB nhanh'!E17,'9. Thu, chi PABT'!$F$11:$F$33,"Tạm ứng",'9. Thu, chi PABT'!$R$11:$R$33,"&gt;="&amp;'TH T.ứng+thu+chi GPMB nhanh'!$D$5,'9. Thu, chi PABT'!$R$11:$R$33,"&lt;="&amp;'TH T.ứng+thu+chi GPMB nhanh'!$D$6)+SUMIFS('9. Thu, chi PABT'!$T$11:$T$33,'9. Thu, chi PABT'!$B$11:$B$33,'TH T.ứng+thu+chi GPMB nhanh'!B17,'9. Thu, chi PABT'!$F$11:$F$33,'TH T.ứng+thu+chi GPMB nhanh'!C17,'9. Thu, chi PABT'!$J$11:$J$33,'TH T.ứng+thu+chi GPMB nhanh'!D17,'9. Thu, chi PABT'!$M$11:$M$33,'TH T.ứng+thu+chi GPMB nhanh'!E17,'9. Thu, chi PABT'!$H$11:$H$33,"Tạm ứng",'9. Thu, chi PABT'!$R$11:$R$33,"&gt;="&amp;'TH T.ứng+thu+chi GPMB nhanh'!$D$5,'9. Thu, chi PABT'!$R$11:$R$33,"&lt;="&amp;'TH T.ứng+thu+chi GPMB nhanh'!$D$6)</f>
        <v>0</v>
      </c>
      <c r="L17" s="39">
        <f>SUMIFS('9. Thu, chi PABT'!$U$11:$U$33,'9. Thu, chi PABT'!$B$11:$B$33,'TH T.ứng+thu+chi GPMB nhanh'!B17,'9. Thu, chi PABT'!$F$11:$F$33,'TH T.ứng+thu+chi GPMB nhanh'!C17,'9. Thu, chi PABT'!$J$11:$J$33,'TH T.ứng+thu+chi GPMB nhanh'!D17,'9. Thu, chi PABT'!$M$11:$M$33,'TH T.ứng+thu+chi GPMB nhanh'!E17,'9. Thu, chi PABT'!$F$11:$F$33,"&lt;&gt;Tạm ứng",'9. Thu, chi PABT'!$H$11:$H$33,"&lt;&gt;Tạm ứng",'9. Thu, chi PABT'!$R$11:$R$33,"&gt;="&amp;'TH T.ứng+thu+chi GPMB nhanh'!$D$5,'9. Thu, chi PABT'!$R$11:$R$33,"&lt;="&amp;'TH T.ứng+thu+chi GPMB nhanh'!$D$6)</f>
        <v>0</v>
      </c>
      <c r="M17" s="41">
        <f t="shared" si="2"/>
        <v>0</v>
      </c>
      <c r="N17" s="41">
        <f t="shared" si="3"/>
        <v>0</v>
      </c>
      <c r="O17" s="41">
        <f t="shared" si="0"/>
        <v>0</v>
      </c>
      <c r="P17" s="41">
        <f t="shared" si="0"/>
        <v>0</v>
      </c>
      <c r="Q17" s="41">
        <f t="shared" si="0"/>
        <v>0</v>
      </c>
    </row>
  </sheetData>
  <mergeCells count="7">
    <mergeCell ref="A1:F1"/>
    <mergeCell ref="A2:F2"/>
    <mergeCell ref="A4:Q4"/>
    <mergeCell ref="A7:E7"/>
    <mergeCell ref="F7:I7"/>
    <mergeCell ref="J7:M7"/>
    <mergeCell ref="N7:Q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587B-2B63-4EC5-9BF0-7A44866BE9E6}">
  <sheetPr>
    <tabColor rgb="FF92D050"/>
  </sheetPr>
  <dimension ref="A1:M24"/>
  <sheetViews>
    <sheetView workbookViewId="0">
      <selection activeCell="B9" sqref="B9"/>
    </sheetView>
  </sheetViews>
  <sheetFormatPr defaultColWidth="8.85546875" defaultRowHeight="15" x14ac:dyDescent="0.25"/>
  <cols>
    <col min="1" max="1" width="7.140625" style="87" customWidth="1"/>
    <col min="2" max="2" width="12.28515625" style="89" customWidth="1"/>
    <col min="3" max="3" width="20.42578125" style="89" bestFit="1" customWidth="1"/>
    <col min="4" max="6" width="16.28515625" style="89" customWidth="1"/>
    <col min="7" max="12" width="17.7109375" style="106" customWidth="1"/>
    <col min="13" max="16384" width="8.85546875" style="87"/>
  </cols>
  <sheetData>
    <row r="1" spans="1:13" ht="15.75" x14ac:dyDescent="0.25">
      <c r="A1" s="168" t="s">
        <v>9</v>
      </c>
      <c r="B1" s="168"/>
      <c r="C1" s="168"/>
      <c r="D1" s="168"/>
      <c r="E1" s="168"/>
      <c r="F1" s="1"/>
      <c r="G1" s="44"/>
      <c r="H1" s="44"/>
      <c r="I1" s="112"/>
      <c r="J1" s="112"/>
      <c r="K1" s="112"/>
      <c r="L1" s="112"/>
    </row>
    <row r="2" spans="1:13" ht="15.75" x14ac:dyDescent="0.25">
      <c r="A2" s="168" t="s">
        <v>10</v>
      </c>
      <c r="B2" s="168"/>
      <c r="C2" s="168"/>
      <c r="D2" s="168"/>
      <c r="E2" s="168"/>
      <c r="F2" s="1"/>
      <c r="G2" s="44"/>
      <c r="H2" s="44"/>
      <c r="I2" s="112"/>
      <c r="J2" s="112"/>
      <c r="K2" s="112"/>
      <c r="L2" s="112"/>
    </row>
    <row r="3" spans="1:13" ht="15.75" x14ac:dyDescent="0.25">
      <c r="A3" s="2"/>
      <c r="B3" s="1"/>
      <c r="C3" s="1"/>
      <c r="D3" s="20"/>
      <c r="E3" s="21"/>
      <c r="F3" s="21"/>
      <c r="G3" s="45"/>
      <c r="H3" s="139"/>
      <c r="I3" s="140"/>
      <c r="J3" s="140"/>
      <c r="K3" s="140"/>
      <c r="L3" s="140"/>
    </row>
    <row r="4" spans="1:13" ht="15.6" customHeight="1" x14ac:dyDescent="0.25">
      <c r="A4" s="168" t="s">
        <v>251</v>
      </c>
      <c r="B4" s="168"/>
      <c r="C4" s="168"/>
      <c r="D4" s="168"/>
      <c r="E4" s="168"/>
      <c r="F4" s="168"/>
      <c r="G4" s="168"/>
      <c r="H4" s="168"/>
      <c r="I4" s="168"/>
      <c r="J4" s="168"/>
      <c r="K4" s="168"/>
      <c r="L4" s="168"/>
      <c r="M4" s="49"/>
    </row>
    <row r="5" spans="1:13" x14ac:dyDescent="0.25">
      <c r="A5" s="16"/>
      <c r="B5" s="13"/>
      <c r="C5" s="13"/>
      <c r="D5" s="13"/>
      <c r="E5" s="13"/>
      <c r="F5" s="13"/>
      <c r="G5" s="50"/>
      <c r="H5" s="50"/>
      <c r="I5" s="50"/>
      <c r="J5" s="50"/>
      <c r="K5" s="50"/>
      <c r="L5" s="50"/>
    </row>
    <row r="6" spans="1:13" ht="21.6" customHeight="1" x14ac:dyDescent="0.25">
      <c r="A6" s="174" t="s">
        <v>108</v>
      </c>
      <c r="B6" s="183"/>
      <c r="C6" s="174" t="s">
        <v>40</v>
      </c>
      <c r="D6" s="175"/>
      <c r="E6" s="175"/>
      <c r="F6" s="183"/>
      <c r="G6" s="176" t="s">
        <v>249</v>
      </c>
      <c r="H6" s="176"/>
      <c r="I6" s="176"/>
      <c r="J6" s="176" t="s">
        <v>109</v>
      </c>
      <c r="K6" s="176"/>
      <c r="L6" s="176"/>
    </row>
    <row r="7" spans="1:13" ht="25.5" x14ac:dyDescent="0.25">
      <c r="A7" s="8" t="s">
        <v>0</v>
      </c>
      <c r="B7" s="5" t="s">
        <v>200</v>
      </c>
      <c r="C7" s="4" t="s">
        <v>36</v>
      </c>
      <c r="D7" s="4" t="s">
        <v>133</v>
      </c>
      <c r="E7" s="5" t="s">
        <v>154</v>
      </c>
      <c r="F7" s="5" t="s">
        <v>82</v>
      </c>
      <c r="G7" s="104" t="s">
        <v>78</v>
      </c>
      <c r="H7" s="104" t="s">
        <v>79</v>
      </c>
      <c r="I7" s="104" t="s">
        <v>158</v>
      </c>
      <c r="J7" s="104" t="s">
        <v>78</v>
      </c>
      <c r="K7" s="104" t="s">
        <v>79</v>
      </c>
      <c r="L7" s="104" t="s">
        <v>158</v>
      </c>
    </row>
    <row r="8" spans="1:13" x14ac:dyDescent="0.25">
      <c r="A8" s="30"/>
      <c r="B8" s="99"/>
      <c r="C8" s="118"/>
      <c r="D8" s="118"/>
      <c r="E8" s="99"/>
      <c r="F8" s="99"/>
      <c r="G8" s="38">
        <f>SUBTOTAL(9,G9:G19999)</f>
        <v>4200000000</v>
      </c>
      <c r="H8" s="38">
        <f t="shared" ref="H8:L8" si="0">SUBTOTAL(9,H9:H19999)</f>
        <v>100000000</v>
      </c>
      <c r="I8" s="38">
        <f t="shared" si="0"/>
        <v>4100000000</v>
      </c>
      <c r="J8" s="38">
        <f t="shared" si="0"/>
        <v>320000000</v>
      </c>
      <c r="K8" s="38">
        <f t="shared" si="0"/>
        <v>10000000</v>
      </c>
      <c r="L8" s="38">
        <f t="shared" si="0"/>
        <v>310000000</v>
      </c>
    </row>
    <row r="9" spans="1:13" x14ac:dyDescent="0.25">
      <c r="A9" s="88"/>
      <c r="B9" s="86" cm="1">
        <f t="array" ref="B9:F14">_xlfn.UNIQUE(_xlfn.HSTACK('9.1 TH thu,chi PABT+GPMB nhanh '!$B$10:$B$19987,'9.1 TH thu,chi PABT+GPMB nhanh '!$D$10:$G$19987))</f>
        <v>110</v>
      </c>
      <c r="C9" s="86" t="str">
        <v>Nguyễn Đức Anh</v>
      </c>
      <c r="D9" s="86" t="str">
        <v>Tiên Cát</v>
      </c>
      <c r="E9" s="86" t="str">
        <v>Minh Hà</v>
      </c>
      <c r="F9" s="86" t="str">
        <v>123A</v>
      </c>
      <c r="G9" s="105">
        <f>SUMIFS('9.1 TH thu,chi PABT+GPMB nhanh '!H$10:H$19987,'9.1 TH thu,chi PABT+GPMB nhanh '!$D$10:$D$19987,'9.2 TH thu chi  theo Q.Định'!$C9,'9.1 TH thu,chi PABT+GPMB nhanh '!$E$10:$E$19987,'9.2 TH thu chi  theo Q.Định'!$D9,'9.1 TH thu,chi PABT+GPMB nhanh '!$F$10:$F$19987,'9.2 TH thu chi  theo Q.Định'!$E9,'9.1 TH thu,chi PABT+GPMB nhanh '!$G$10:$G$19987,'9.2 TH thu chi  theo Q.Định'!$F9,'9.1 TH thu,chi PABT+GPMB nhanh '!$B$10:$B$19987,'9.2 TH thu chi  theo Q.Định'!$B9)</f>
        <v>200000000</v>
      </c>
      <c r="H9" s="105">
        <f>SUMIFS('9.1 TH thu,chi PABT+GPMB nhanh '!I$10:I$19987,'9.1 TH thu,chi PABT+GPMB nhanh '!$D$10:$D$19987,'9.2 TH thu chi  theo Q.Định'!$C9,'9.1 TH thu,chi PABT+GPMB nhanh '!$E$10:$E$19987,'9.2 TH thu chi  theo Q.Định'!$D9,'9.1 TH thu,chi PABT+GPMB nhanh '!$F$10:$F$19987,'9.2 TH thu chi  theo Q.Định'!$E9,'9.1 TH thu,chi PABT+GPMB nhanh '!$G$10:$G$19987,'9.2 TH thu chi  theo Q.Định'!$F9,'9.1 TH thu,chi PABT+GPMB nhanh '!$B$10:$B$19987,'9.2 TH thu chi  theo Q.Định'!$B9)</f>
        <v>0</v>
      </c>
      <c r="I9" s="105">
        <f>SUMIFS('9.1 TH thu,chi PABT+GPMB nhanh '!J$10:J$19987,'9.1 TH thu,chi PABT+GPMB nhanh '!$D$10:$D$19987,'9.2 TH thu chi  theo Q.Định'!$C9,'9.1 TH thu,chi PABT+GPMB nhanh '!$E$10:$E$19987,'9.2 TH thu chi  theo Q.Định'!$D9,'9.1 TH thu,chi PABT+GPMB nhanh '!$F$10:$F$19987,'9.2 TH thu chi  theo Q.Định'!$E9,'9.1 TH thu,chi PABT+GPMB nhanh '!$G$10:$G$19987,'9.2 TH thu chi  theo Q.Định'!$F9,'9.1 TH thu,chi PABT+GPMB nhanh '!$B$10:$B$19987,'9.2 TH thu chi  theo Q.Định'!$B9)</f>
        <v>200000000</v>
      </c>
      <c r="J9" s="105">
        <f>SUMIFS('9.1 TH thu,chi PABT+GPMB nhanh '!K$10:K$19987,'9.1 TH thu,chi PABT+GPMB nhanh '!$D$10:$D$19987,'9.2 TH thu chi  theo Q.Định'!$C9,'9.1 TH thu,chi PABT+GPMB nhanh '!$E$10:$E$19987,'9.2 TH thu chi  theo Q.Định'!$D9,'9.1 TH thu,chi PABT+GPMB nhanh '!$F$10:$F$19987,'9.2 TH thu chi  theo Q.Định'!$E9,'9.1 TH thu,chi PABT+GPMB nhanh '!$G$10:$G$19987,'9.2 TH thu chi  theo Q.Định'!$F9,'9.1 TH thu,chi PABT+GPMB nhanh '!$B$10:$B$19987,'9.2 TH thu chi  theo Q.Định'!$B9)</f>
        <v>0</v>
      </c>
      <c r="K9" s="105">
        <f>SUMIFS('9.1 TH thu,chi PABT+GPMB nhanh '!L$10:L$19987,'9.1 TH thu,chi PABT+GPMB nhanh '!$D$10:$D$19987,'9.2 TH thu chi  theo Q.Định'!$C9,'9.1 TH thu,chi PABT+GPMB nhanh '!$E$10:$E$19987,'9.2 TH thu chi  theo Q.Định'!$D9,'9.1 TH thu,chi PABT+GPMB nhanh '!$F$10:$F$19987,'9.2 TH thu chi  theo Q.Định'!$E9,'9.1 TH thu,chi PABT+GPMB nhanh '!$G$10:$G$19987,'9.2 TH thu chi  theo Q.Định'!$F9,'9.1 TH thu,chi PABT+GPMB nhanh '!$B$10:$B$19987,'9.2 TH thu chi  theo Q.Định'!$B9)</f>
        <v>0</v>
      </c>
      <c r="L9" s="105">
        <f>SUMIFS('9.1 TH thu,chi PABT+GPMB nhanh '!M$10:M$19987,'9.1 TH thu,chi PABT+GPMB nhanh '!$D$10:$D$19987,'9.2 TH thu chi  theo Q.Định'!$C9,'9.1 TH thu,chi PABT+GPMB nhanh '!$E$10:$E$19987,'9.2 TH thu chi  theo Q.Định'!$D9,'9.1 TH thu,chi PABT+GPMB nhanh '!$F$10:$F$19987,'9.2 TH thu chi  theo Q.Định'!$E9,'9.1 TH thu,chi PABT+GPMB nhanh '!$G$10:$G$19987,'9.2 TH thu chi  theo Q.Định'!$F9,'9.1 TH thu,chi PABT+GPMB nhanh '!$B$10:$B$19987,'9.2 TH thu chi  theo Q.Định'!$B9)</f>
        <v>0</v>
      </c>
    </row>
    <row r="10" spans="1:13" x14ac:dyDescent="0.25">
      <c r="A10" s="88"/>
      <c r="B10" s="86">
        <v>120</v>
      </c>
      <c r="C10" s="86" t="str">
        <v>Nguyễn Đức Anh</v>
      </c>
      <c r="D10" s="86" t="str">
        <v>Tiên Cát</v>
      </c>
      <c r="E10" s="86" t="str">
        <v>Minh Hà</v>
      </c>
      <c r="F10" s="86" t="str">
        <v>123A</v>
      </c>
      <c r="G10" s="105">
        <f>SUMIFS('9.1 TH thu,chi PABT+GPMB nhanh '!H$10:H$19987,'9.1 TH thu,chi PABT+GPMB nhanh '!$D$10:$D$19987,'9.2 TH thu chi  theo Q.Định'!$C10,'9.1 TH thu,chi PABT+GPMB nhanh '!$E$10:$E$19987,'9.2 TH thu chi  theo Q.Định'!$D10,'9.1 TH thu,chi PABT+GPMB nhanh '!$F$10:$F$19987,'9.2 TH thu chi  theo Q.Định'!$E10,'9.1 TH thu,chi PABT+GPMB nhanh '!$G$10:$G$19987,'9.2 TH thu chi  theo Q.Định'!$F10,'9.1 TH thu,chi PABT+GPMB nhanh '!$B$10:$B$19987,'9.2 TH thu chi  theo Q.Định'!$B10)</f>
        <v>900000000</v>
      </c>
      <c r="H10" s="105">
        <f>SUMIFS('9.1 TH thu,chi PABT+GPMB nhanh '!I$10:I$19987,'9.1 TH thu,chi PABT+GPMB nhanh '!$D$10:$D$19987,'9.2 TH thu chi  theo Q.Định'!$C10,'9.1 TH thu,chi PABT+GPMB nhanh '!$E$10:$E$19987,'9.2 TH thu chi  theo Q.Định'!$D10,'9.1 TH thu,chi PABT+GPMB nhanh '!$F$10:$F$19987,'9.2 TH thu chi  theo Q.Định'!$E10,'9.1 TH thu,chi PABT+GPMB nhanh '!$G$10:$G$19987,'9.2 TH thu chi  theo Q.Định'!$F10,'9.1 TH thu,chi PABT+GPMB nhanh '!$B$10:$B$19987,'9.2 TH thu chi  theo Q.Định'!$B10)</f>
        <v>0</v>
      </c>
      <c r="I10" s="105">
        <f>SUMIFS('9.1 TH thu,chi PABT+GPMB nhanh '!J$10:J$19987,'9.1 TH thu,chi PABT+GPMB nhanh '!$D$10:$D$19987,'9.2 TH thu chi  theo Q.Định'!$C10,'9.1 TH thu,chi PABT+GPMB nhanh '!$E$10:$E$19987,'9.2 TH thu chi  theo Q.Định'!$D10,'9.1 TH thu,chi PABT+GPMB nhanh '!$F$10:$F$19987,'9.2 TH thu chi  theo Q.Định'!$E10,'9.1 TH thu,chi PABT+GPMB nhanh '!$G$10:$G$19987,'9.2 TH thu chi  theo Q.Định'!$F10,'9.1 TH thu,chi PABT+GPMB nhanh '!$B$10:$B$19987,'9.2 TH thu chi  theo Q.Định'!$B10)</f>
        <v>900000000</v>
      </c>
      <c r="J10" s="105">
        <f>SUMIFS('9.1 TH thu,chi PABT+GPMB nhanh '!K$10:K$19987,'9.1 TH thu,chi PABT+GPMB nhanh '!$D$10:$D$19987,'9.2 TH thu chi  theo Q.Định'!$C10,'9.1 TH thu,chi PABT+GPMB nhanh '!$E$10:$E$19987,'9.2 TH thu chi  theo Q.Định'!$D10,'9.1 TH thu,chi PABT+GPMB nhanh '!$F$10:$F$19987,'9.2 TH thu chi  theo Q.Định'!$E10,'9.1 TH thu,chi PABT+GPMB nhanh '!$G$10:$G$19987,'9.2 TH thu chi  theo Q.Định'!$F10,'9.1 TH thu,chi PABT+GPMB nhanh '!$B$10:$B$19987,'9.2 TH thu chi  theo Q.Định'!$B10)</f>
        <v>90000000</v>
      </c>
      <c r="K10" s="105">
        <f>SUMIFS('9.1 TH thu,chi PABT+GPMB nhanh '!L$10:L$19987,'9.1 TH thu,chi PABT+GPMB nhanh '!$D$10:$D$19987,'9.2 TH thu chi  theo Q.Định'!$C10,'9.1 TH thu,chi PABT+GPMB nhanh '!$E$10:$E$19987,'9.2 TH thu chi  theo Q.Định'!$D10,'9.1 TH thu,chi PABT+GPMB nhanh '!$F$10:$F$19987,'9.2 TH thu chi  theo Q.Định'!$E10,'9.1 TH thu,chi PABT+GPMB nhanh '!$G$10:$G$19987,'9.2 TH thu chi  theo Q.Định'!$F10,'9.1 TH thu,chi PABT+GPMB nhanh '!$B$10:$B$19987,'9.2 TH thu chi  theo Q.Định'!$B10)</f>
        <v>0</v>
      </c>
      <c r="L10" s="105">
        <f>SUMIFS('9.1 TH thu,chi PABT+GPMB nhanh '!M$10:M$19987,'9.1 TH thu,chi PABT+GPMB nhanh '!$D$10:$D$19987,'9.2 TH thu chi  theo Q.Định'!$C10,'9.1 TH thu,chi PABT+GPMB nhanh '!$E$10:$E$19987,'9.2 TH thu chi  theo Q.Định'!$D10,'9.1 TH thu,chi PABT+GPMB nhanh '!$F$10:$F$19987,'9.2 TH thu chi  theo Q.Định'!$E10,'9.1 TH thu,chi PABT+GPMB nhanh '!$G$10:$G$19987,'9.2 TH thu chi  theo Q.Định'!$F10,'9.1 TH thu,chi PABT+GPMB nhanh '!$B$10:$B$19987,'9.2 TH thu chi  theo Q.Định'!$B10)</f>
        <v>90000000</v>
      </c>
    </row>
    <row r="11" spans="1:13" x14ac:dyDescent="0.25">
      <c r="A11" s="88"/>
      <c r="B11" s="86">
        <v>130</v>
      </c>
      <c r="C11" s="86" t="str">
        <v>Nguyễn Đức Anh</v>
      </c>
      <c r="D11" s="86" t="str">
        <v>Tiên Cát</v>
      </c>
      <c r="E11" s="86" t="str">
        <v>Minh Hà</v>
      </c>
      <c r="F11" s="86" t="str">
        <v>123A</v>
      </c>
      <c r="G11" s="105">
        <f>SUMIFS('9.1 TH thu,chi PABT+GPMB nhanh '!H$10:H$19987,'9.1 TH thu,chi PABT+GPMB nhanh '!$D$10:$D$19987,'9.2 TH thu chi  theo Q.Định'!$C11,'9.1 TH thu,chi PABT+GPMB nhanh '!$E$10:$E$19987,'9.2 TH thu chi  theo Q.Định'!$D11,'9.1 TH thu,chi PABT+GPMB nhanh '!$F$10:$F$19987,'9.2 TH thu chi  theo Q.Định'!$E11,'9.1 TH thu,chi PABT+GPMB nhanh '!$G$10:$G$19987,'9.2 TH thu chi  theo Q.Định'!$F11,'9.1 TH thu,chi PABT+GPMB nhanh '!$B$10:$B$19987,'9.2 TH thu chi  theo Q.Định'!$B11)</f>
        <v>2100000000</v>
      </c>
      <c r="H11" s="105">
        <f>SUMIFS('9.1 TH thu,chi PABT+GPMB nhanh '!I$10:I$19987,'9.1 TH thu,chi PABT+GPMB nhanh '!$D$10:$D$19987,'9.2 TH thu chi  theo Q.Định'!$C11,'9.1 TH thu,chi PABT+GPMB nhanh '!$E$10:$E$19987,'9.2 TH thu chi  theo Q.Định'!$D11,'9.1 TH thu,chi PABT+GPMB nhanh '!$F$10:$F$19987,'9.2 TH thu chi  theo Q.Định'!$E11,'9.1 TH thu,chi PABT+GPMB nhanh '!$G$10:$G$19987,'9.2 TH thu chi  theo Q.Định'!$F11,'9.1 TH thu,chi PABT+GPMB nhanh '!$B$10:$B$19987,'9.2 TH thu chi  theo Q.Định'!$B11)</f>
        <v>0</v>
      </c>
      <c r="I11" s="105">
        <f>SUMIFS('9.1 TH thu,chi PABT+GPMB nhanh '!J$10:J$19987,'9.1 TH thu,chi PABT+GPMB nhanh '!$D$10:$D$19987,'9.2 TH thu chi  theo Q.Định'!$C11,'9.1 TH thu,chi PABT+GPMB nhanh '!$E$10:$E$19987,'9.2 TH thu chi  theo Q.Định'!$D11,'9.1 TH thu,chi PABT+GPMB nhanh '!$F$10:$F$19987,'9.2 TH thu chi  theo Q.Định'!$E11,'9.1 TH thu,chi PABT+GPMB nhanh '!$G$10:$G$19987,'9.2 TH thu chi  theo Q.Định'!$F11,'9.1 TH thu,chi PABT+GPMB nhanh '!$B$10:$B$19987,'9.2 TH thu chi  theo Q.Định'!$B11)</f>
        <v>2100000000</v>
      </c>
      <c r="J11" s="105">
        <f>SUMIFS('9.1 TH thu,chi PABT+GPMB nhanh '!K$10:K$19987,'9.1 TH thu,chi PABT+GPMB nhanh '!$D$10:$D$19987,'9.2 TH thu chi  theo Q.Định'!$C11,'9.1 TH thu,chi PABT+GPMB nhanh '!$E$10:$E$19987,'9.2 TH thu chi  theo Q.Định'!$D11,'9.1 TH thu,chi PABT+GPMB nhanh '!$F$10:$F$19987,'9.2 TH thu chi  theo Q.Định'!$E11,'9.1 TH thu,chi PABT+GPMB nhanh '!$G$10:$G$19987,'9.2 TH thu chi  theo Q.Định'!$F11,'9.1 TH thu,chi PABT+GPMB nhanh '!$B$10:$B$19987,'9.2 TH thu chi  theo Q.Định'!$B11)</f>
        <v>130000000</v>
      </c>
      <c r="K11" s="105">
        <f>SUMIFS('9.1 TH thu,chi PABT+GPMB nhanh '!L$10:L$19987,'9.1 TH thu,chi PABT+GPMB nhanh '!$D$10:$D$19987,'9.2 TH thu chi  theo Q.Định'!$C11,'9.1 TH thu,chi PABT+GPMB nhanh '!$E$10:$E$19987,'9.2 TH thu chi  theo Q.Định'!$D11,'9.1 TH thu,chi PABT+GPMB nhanh '!$F$10:$F$19987,'9.2 TH thu chi  theo Q.Định'!$E11,'9.1 TH thu,chi PABT+GPMB nhanh '!$G$10:$G$19987,'9.2 TH thu chi  theo Q.Định'!$F11,'9.1 TH thu,chi PABT+GPMB nhanh '!$B$10:$B$19987,'9.2 TH thu chi  theo Q.Định'!$B11)</f>
        <v>0</v>
      </c>
      <c r="L11" s="105">
        <f>SUMIFS('9.1 TH thu,chi PABT+GPMB nhanh '!M$10:M$19987,'9.1 TH thu,chi PABT+GPMB nhanh '!$D$10:$D$19987,'9.2 TH thu chi  theo Q.Định'!$C11,'9.1 TH thu,chi PABT+GPMB nhanh '!$E$10:$E$19987,'9.2 TH thu chi  theo Q.Định'!$D11,'9.1 TH thu,chi PABT+GPMB nhanh '!$F$10:$F$19987,'9.2 TH thu chi  theo Q.Định'!$E11,'9.1 TH thu,chi PABT+GPMB nhanh '!$G$10:$G$19987,'9.2 TH thu chi  theo Q.Định'!$F11,'9.1 TH thu,chi PABT+GPMB nhanh '!$B$10:$B$19987,'9.2 TH thu chi  theo Q.Định'!$B11)</f>
        <v>130000000</v>
      </c>
    </row>
    <row r="12" spans="1:13" x14ac:dyDescent="0.25">
      <c r="A12" s="88"/>
      <c r="B12" s="86">
        <v>140</v>
      </c>
      <c r="C12" s="86" t="str">
        <v>Nguyễn Đức Anh</v>
      </c>
      <c r="D12" s="86" t="str">
        <v>Tiên Cát</v>
      </c>
      <c r="E12" s="86" t="str">
        <v>Minh Hà</v>
      </c>
      <c r="F12" s="86" t="str">
        <v>123A</v>
      </c>
      <c r="G12" s="105">
        <f>SUMIFS('9.1 TH thu,chi PABT+GPMB nhanh '!H$10:H$19987,'9.1 TH thu,chi PABT+GPMB nhanh '!$D$10:$D$19987,'9.2 TH thu chi  theo Q.Định'!$C12,'9.1 TH thu,chi PABT+GPMB nhanh '!$E$10:$E$19987,'9.2 TH thu chi  theo Q.Định'!$D12,'9.1 TH thu,chi PABT+GPMB nhanh '!$F$10:$F$19987,'9.2 TH thu chi  theo Q.Định'!$E12,'9.1 TH thu,chi PABT+GPMB nhanh '!$G$10:$G$19987,'9.2 TH thu chi  theo Q.Định'!$F12,'9.1 TH thu,chi PABT+GPMB nhanh '!$B$10:$B$19987,'9.2 TH thu chi  theo Q.Định'!$B12)</f>
        <v>1000000000</v>
      </c>
      <c r="H12" s="105">
        <f>SUMIFS('9.1 TH thu,chi PABT+GPMB nhanh '!I$10:I$19987,'9.1 TH thu,chi PABT+GPMB nhanh '!$D$10:$D$19987,'9.2 TH thu chi  theo Q.Định'!$C12,'9.1 TH thu,chi PABT+GPMB nhanh '!$E$10:$E$19987,'9.2 TH thu chi  theo Q.Định'!$D12,'9.1 TH thu,chi PABT+GPMB nhanh '!$F$10:$F$19987,'9.2 TH thu chi  theo Q.Định'!$E12,'9.1 TH thu,chi PABT+GPMB nhanh '!$G$10:$G$19987,'9.2 TH thu chi  theo Q.Định'!$F12,'9.1 TH thu,chi PABT+GPMB nhanh '!$B$10:$B$19987,'9.2 TH thu chi  theo Q.Định'!$B12)</f>
        <v>100000000</v>
      </c>
      <c r="I12" s="105">
        <f>SUMIFS('9.1 TH thu,chi PABT+GPMB nhanh '!J$10:J$19987,'9.1 TH thu,chi PABT+GPMB nhanh '!$D$10:$D$19987,'9.2 TH thu chi  theo Q.Định'!$C12,'9.1 TH thu,chi PABT+GPMB nhanh '!$E$10:$E$19987,'9.2 TH thu chi  theo Q.Định'!$D12,'9.1 TH thu,chi PABT+GPMB nhanh '!$F$10:$F$19987,'9.2 TH thu chi  theo Q.Định'!$E12,'9.1 TH thu,chi PABT+GPMB nhanh '!$G$10:$G$19987,'9.2 TH thu chi  theo Q.Định'!$F12,'9.1 TH thu,chi PABT+GPMB nhanh '!$B$10:$B$19987,'9.2 TH thu chi  theo Q.Định'!$B12)</f>
        <v>900000000</v>
      </c>
      <c r="J12" s="105">
        <f>SUMIFS('9.1 TH thu,chi PABT+GPMB nhanh '!K$10:K$19987,'9.1 TH thu,chi PABT+GPMB nhanh '!$D$10:$D$19987,'9.2 TH thu chi  theo Q.Định'!$C12,'9.1 TH thu,chi PABT+GPMB nhanh '!$E$10:$E$19987,'9.2 TH thu chi  theo Q.Định'!$D12,'9.1 TH thu,chi PABT+GPMB nhanh '!$F$10:$F$19987,'9.2 TH thu chi  theo Q.Định'!$E12,'9.1 TH thu,chi PABT+GPMB nhanh '!$G$10:$G$19987,'9.2 TH thu chi  theo Q.Định'!$F12,'9.1 TH thu,chi PABT+GPMB nhanh '!$B$10:$B$19987,'9.2 TH thu chi  theo Q.Định'!$B12)</f>
        <v>100000000</v>
      </c>
      <c r="K12" s="105">
        <f>SUMIFS('9.1 TH thu,chi PABT+GPMB nhanh '!L$10:L$19987,'9.1 TH thu,chi PABT+GPMB nhanh '!$D$10:$D$19987,'9.2 TH thu chi  theo Q.Định'!$C12,'9.1 TH thu,chi PABT+GPMB nhanh '!$E$10:$E$19987,'9.2 TH thu chi  theo Q.Định'!$D12,'9.1 TH thu,chi PABT+GPMB nhanh '!$F$10:$F$19987,'9.2 TH thu chi  theo Q.Định'!$E12,'9.1 TH thu,chi PABT+GPMB nhanh '!$G$10:$G$19987,'9.2 TH thu chi  theo Q.Định'!$F12,'9.1 TH thu,chi PABT+GPMB nhanh '!$B$10:$B$19987,'9.2 TH thu chi  theo Q.Định'!$B12)</f>
        <v>10000000</v>
      </c>
      <c r="L12" s="105">
        <f>SUMIFS('9.1 TH thu,chi PABT+GPMB nhanh '!M$10:M$19987,'9.1 TH thu,chi PABT+GPMB nhanh '!$D$10:$D$19987,'9.2 TH thu chi  theo Q.Định'!$C12,'9.1 TH thu,chi PABT+GPMB nhanh '!$E$10:$E$19987,'9.2 TH thu chi  theo Q.Định'!$D12,'9.1 TH thu,chi PABT+GPMB nhanh '!$F$10:$F$19987,'9.2 TH thu chi  theo Q.Định'!$E12,'9.1 TH thu,chi PABT+GPMB nhanh '!$G$10:$G$19987,'9.2 TH thu chi  theo Q.Định'!$F12,'9.1 TH thu,chi PABT+GPMB nhanh '!$B$10:$B$19987,'9.2 TH thu chi  theo Q.Định'!$B12)</f>
        <v>90000000</v>
      </c>
    </row>
    <row r="13" spans="1:13" x14ac:dyDescent="0.25">
      <c r="A13" s="88"/>
      <c r="B13" s="86">
        <v>0</v>
      </c>
      <c r="C13" s="86">
        <v>0</v>
      </c>
      <c r="D13" s="86">
        <v>0</v>
      </c>
      <c r="E13" s="86">
        <v>0</v>
      </c>
      <c r="F13" s="86">
        <v>0</v>
      </c>
      <c r="G13" s="105">
        <f>SUMIFS('9.1 TH thu,chi PABT+GPMB nhanh '!H$10:H$19987,'9.1 TH thu,chi PABT+GPMB nhanh '!$D$10:$D$19987,'9.2 TH thu chi  theo Q.Định'!$C13,'9.1 TH thu,chi PABT+GPMB nhanh '!$E$10:$E$19987,'9.2 TH thu chi  theo Q.Định'!$D13,'9.1 TH thu,chi PABT+GPMB nhanh '!$F$10:$F$19987,'9.2 TH thu chi  theo Q.Định'!$E13,'9.1 TH thu,chi PABT+GPMB nhanh '!$G$10:$G$19987,'9.2 TH thu chi  theo Q.Định'!$F13,'9.1 TH thu,chi PABT+GPMB nhanh '!$B$10:$B$19987,'9.2 TH thu chi  theo Q.Định'!$B13)</f>
        <v>0</v>
      </c>
      <c r="H13" s="105">
        <f>SUMIFS('9.1 TH thu,chi PABT+GPMB nhanh '!I$10:I$19987,'9.1 TH thu,chi PABT+GPMB nhanh '!$D$10:$D$19987,'9.2 TH thu chi  theo Q.Định'!$C13,'9.1 TH thu,chi PABT+GPMB nhanh '!$E$10:$E$19987,'9.2 TH thu chi  theo Q.Định'!$D13,'9.1 TH thu,chi PABT+GPMB nhanh '!$F$10:$F$19987,'9.2 TH thu chi  theo Q.Định'!$E13,'9.1 TH thu,chi PABT+GPMB nhanh '!$G$10:$G$19987,'9.2 TH thu chi  theo Q.Định'!$F13,'9.1 TH thu,chi PABT+GPMB nhanh '!$B$10:$B$19987,'9.2 TH thu chi  theo Q.Định'!$B13)</f>
        <v>0</v>
      </c>
      <c r="I13" s="105">
        <f>SUMIFS('9.1 TH thu,chi PABT+GPMB nhanh '!J$10:J$19987,'9.1 TH thu,chi PABT+GPMB nhanh '!$D$10:$D$19987,'9.2 TH thu chi  theo Q.Định'!$C13,'9.1 TH thu,chi PABT+GPMB nhanh '!$E$10:$E$19987,'9.2 TH thu chi  theo Q.Định'!$D13,'9.1 TH thu,chi PABT+GPMB nhanh '!$F$10:$F$19987,'9.2 TH thu chi  theo Q.Định'!$E13,'9.1 TH thu,chi PABT+GPMB nhanh '!$G$10:$G$19987,'9.2 TH thu chi  theo Q.Định'!$F13,'9.1 TH thu,chi PABT+GPMB nhanh '!$B$10:$B$19987,'9.2 TH thu chi  theo Q.Định'!$B13)</f>
        <v>0</v>
      </c>
      <c r="J13" s="105">
        <f>SUMIFS('9.1 TH thu,chi PABT+GPMB nhanh '!K$10:K$19987,'9.1 TH thu,chi PABT+GPMB nhanh '!$D$10:$D$19987,'9.2 TH thu chi  theo Q.Định'!$C13,'9.1 TH thu,chi PABT+GPMB nhanh '!$E$10:$E$19987,'9.2 TH thu chi  theo Q.Định'!$D13,'9.1 TH thu,chi PABT+GPMB nhanh '!$F$10:$F$19987,'9.2 TH thu chi  theo Q.Định'!$E13,'9.1 TH thu,chi PABT+GPMB nhanh '!$G$10:$G$19987,'9.2 TH thu chi  theo Q.Định'!$F13,'9.1 TH thu,chi PABT+GPMB nhanh '!$B$10:$B$19987,'9.2 TH thu chi  theo Q.Định'!$B13)</f>
        <v>0</v>
      </c>
      <c r="K13" s="105">
        <f>SUMIFS('9.1 TH thu,chi PABT+GPMB nhanh '!L$10:L$19987,'9.1 TH thu,chi PABT+GPMB nhanh '!$D$10:$D$19987,'9.2 TH thu chi  theo Q.Định'!$C13,'9.1 TH thu,chi PABT+GPMB nhanh '!$E$10:$E$19987,'9.2 TH thu chi  theo Q.Định'!$D13,'9.1 TH thu,chi PABT+GPMB nhanh '!$F$10:$F$19987,'9.2 TH thu chi  theo Q.Định'!$E13,'9.1 TH thu,chi PABT+GPMB nhanh '!$G$10:$G$19987,'9.2 TH thu chi  theo Q.Định'!$F13,'9.1 TH thu,chi PABT+GPMB nhanh '!$B$10:$B$19987,'9.2 TH thu chi  theo Q.Định'!$B13)</f>
        <v>0</v>
      </c>
      <c r="L13" s="105">
        <f>SUMIFS('9.1 TH thu,chi PABT+GPMB nhanh '!M$10:M$19987,'9.1 TH thu,chi PABT+GPMB nhanh '!$D$10:$D$19987,'9.2 TH thu chi  theo Q.Định'!$C13,'9.1 TH thu,chi PABT+GPMB nhanh '!$E$10:$E$19987,'9.2 TH thu chi  theo Q.Định'!$D13,'9.1 TH thu,chi PABT+GPMB nhanh '!$F$10:$F$19987,'9.2 TH thu chi  theo Q.Định'!$E13,'9.1 TH thu,chi PABT+GPMB nhanh '!$G$10:$G$19987,'9.2 TH thu chi  theo Q.Định'!$F13,'9.1 TH thu,chi PABT+GPMB nhanh '!$B$10:$B$19987,'9.2 TH thu chi  theo Q.Định'!$B13)</f>
        <v>0</v>
      </c>
    </row>
    <row r="14" spans="1:13" x14ac:dyDescent="0.25">
      <c r="A14" s="88"/>
      <c r="B14" s="86">
        <v>0</v>
      </c>
      <c r="C14" s="86">
        <v>0</v>
      </c>
      <c r="D14" s="86">
        <v>0</v>
      </c>
      <c r="E14" s="86">
        <v>0</v>
      </c>
      <c r="F14" s="86">
        <v>0</v>
      </c>
      <c r="G14" s="105">
        <f>SUMIFS('9.1 TH thu,chi PABT+GPMB nhanh '!H$10:H$19987,'9.1 TH thu,chi PABT+GPMB nhanh '!$D$10:$D$19987,'9.2 TH thu chi  theo Q.Định'!$C14,'9.1 TH thu,chi PABT+GPMB nhanh '!$E$10:$E$19987,'9.2 TH thu chi  theo Q.Định'!$D14,'9.1 TH thu,chi PABT+GPMB nhanh '!$F$10:$F$19987,'9.2 TH thu chi  theo Q.Định'!$E14,'9.1 TH thu,chi PABT+GPMB nhanh '!$G$10:$G$19987,'9.2 TH thu chi  theo Q.Định'!$F14,'9.1 TH thu,chi PABT+GPMB nhanh '!$B$10:$B$19987,'9.2 TH thu chi  theo Q.Định'!$B14)</f>
        <v>0</v>
      </c>
      <c r="H14" s="105">
        <f>SUMIFS('9.1 TH thu,chi PABT+GPMB nhanh '!I$10:I$19987,'9.1 TH thu,chi PABT+GPMB nhanh '!$D$10:$D$19987,'9.2 TH thu chi  theo Q.Định'!$C14,'9.1 TH thu,chi PABT+GPMB nhanh '!$E$10:$E$19987,'9.2 TH thu chi  theo Q.Định'!$D14,'9.1 TH thu,chi PABT+GPMB nhanh '!$F$10:$F$19987,'9.2 TH thu chi  theo Q.Định'!$E14,'9.1 TH thu,chi PABT+GPMB nhanh '!$G$10:$G$19987,'9.2 TH thu chi  theo Q.Định'!$F14,'9.1 TH thu,chi PABT+GPMB nhanh '!$B$10:$B$19987,'9.2 TH thu chi  theo Q.Định'!$B14)</f>
        <v>0</v>
      </c>
      <c r="I14" s="105">
        <f>SUMIFS('9.1 TH thu,chi PABT+GPMB nhanh '!J$10:J$19987,'9.1 TH thu,chi PABT+GPMB nhanh '!$D$10:$D$19987,'9.2 TH thu chi  theo Q.Định'!$C14,'9.1 TH thu,chi PABT+GPMB nhanh '!$E$10:$E$19987,'9.2 TH thu chi  theo Q.Định'!$D14,'9.1 TH thu,chi PABT+GPMB nhanh '!$F$10:$F$19987,'9.2 TH thu chi  theo Q.Định'!$E14,'9.1 TH thu,chi PABT+GPMB nhanh '!$G$10:$G$19987,'9.2 TH thu chi  theo Q.Định'!$F14,'9.1 TH thu,chi PABT+GPMB nhanh '!$B$10:$B$19987,'9.2 TH thu chi  theo Q.Định'!$B14)</f>
        <v>0</v>
      </c>
      <c r="J14" s="105">
        <f>SUMIFS('9.1 TH thu,chi PABT+GPMB nhanh '!K$10:K$19987,'9.1 TH thu,chi PABT+GPMB nhanh '!$D$10:$D$19987,'9.2 TH thu chi  theo Q.Định'!$C14,'9.1 TH thu,chi PABT+GPMB nhanh '!$E$10:$E$19987,'9.2 TH thu chi  theo Q.Định'!$D14,'9.1 TH thu,chi PABT+GPMB nhanh '!$F$10:$F$19987,'9.2 TH thu chi  theo Q.Định'!$E14,'9.1 TH thu,chi PABT+GPMB nhanh '!$G$10:$G$19987,'9.2 TH thu chi  theo Q.Định'!$F14,'9.1 TH thu,chi PABT+GPMB nhanh '!$B$10:$B$19987,'9.2 TH thu chi  theo Q.Định'!$B14)</f>
        <v>0</v>
      </c>
      <c r="K14" s="105">
        <f>SUMIFS('9.1 TH thu,chi PABT+GPMB nhanh '!L$10:L$19987,'9.1 TH thu,chi PABT+GPMB nhanh '!$D$10:$D$19987,'9.2 TH thu chi  theo Q.Định'!$C14,'9.1 TH thu,chi PABT+GPMB nhanh '!$E$10:$E$19987,'9.2 TH thu chi  theo Q.Định'!$D14,'9.1 TH thu,chi PABT+GPMB nhanh '!$F$10:$F$19987,'9.2 TH thu chi  theo Q.Định'!$E14,'9.1 TH thu,chi PABT+GPMB nhanh '!$G$10:$G$19987,'9.2 TH thu chi  theo Q.Định'!$F14,'9.1 TH thu,chi PABT+GPMB nhanh '!$B$10:$B$19987,'9.2 TH thu chi  theo Q.Định'!$B14)</f>
        <v>0</v>
      </c>
      <c r="L14" s="105">
        <f>SUMIFS('9.1 TH thu,chi PABT+GPMB nhanh '!M$10:M$19987,'9.1 TH thu,chi PABT+GPMB nhanh '!$D$10:$D$19987,'9.2 TH thu chi  theo Q.Định'!$C14,'9.1 TH thu,chi PABT+GPMB nhanh '!$E$10:$E$19987,'9.2 TH thu chi  theo Q.Định'!$D14,'9.1 TH thu,chi PABT+GPMB nhanh '!$F$10:$F$19987,'9.2 TH thu chi  theo Q.Định'!$E14,'9.1 TH thu,chi PABT+GPMB nhanh '!$G$10:$G$19987,'9.2 TH thu chi  theo Q.Định'!$F14,'9.1 TH thu,chi PABT+GPMB nhanh '!$B$10:$B$19987,'9.2 TH thu chi  theo Q.Định'!$B14)</f>
        <v>0</v>
      </c>
    </row>
    <row r="15" spans="1:13" x14ac:dyDescent="0.25">
      <c r="A15" s="88"/>
      <c r="B15" s="86"/>
      <c r="C15" s="86"/>
      <c r="D15" s="86"/>
      <c r="E15" s="86"/>
      <c r="F15" s="86"/>
      <c r="G15" s="105">
        <f>SUMIFS('9.1 TH thu,chi PABT+GPMB nhanh '!H$10:H$19987,'9.1 TH thu,chi PABT+GPMB nhanh '!$D$10:$D$19987,'9.2 TH thu chi  theo Q.Định'!$C15,'9.1 TH thu,chi PABT+GPMB nhanh '!$E$10:$E$19987,'9.2 TH thu chi  theo Q.Định'!$D15,'9.1 TH thu,chi PABT+GPMB nhanh '!$F$10:$F$19987,'9.2 TH thu chi  theo Q.Định'!$E15,'9.1 TH thu,chi PABT+GPMB nhanh '!$G$10:$G$19987,'9.2 TH thu chi  theo Q.Định'!$F15,'9.1 TH thu,chi PABT+GPMB nhanh '!$B$10:$B$19987,'9.2 TH thu chi  theo Q.Định'!$B15)</f>
        <v>0</v>
      </c>
      <c r="H15" s="105">
        <f>SUMIFS('9.1 TH thu,chi PABT+GPMB nhanh '!I$10:I$19987,'9.1 TH thu,chi PABT+GPMB nhanh '!$D$10:$D$19987,'9.2 TH thu chi  theo Q.Định'!$C15,'9.1 TH thu,chi PABT+GPMB nhanh '!$E$10:$E$19987,'9.2 TH thu chi  theo Q.Định'!$D15,'9.1 TH thu,chi PABT+GPMB nhanh '!$F$10:$F$19987,'9.2 TH thu chi  theo Q.Định'!$E15,'9.1 TH thu,chi PABT+GPMB nhanh '!$G$10:$G$19987,'9.2 TH thu chi  theo Q.Định'!$F15,'9.1 TH thu,chi PABT+GPMB nhanh '!$B$10:$B$19987,'9.2 TH thu chi  theo Q.Định'!$B15)</f>
        <v>0</v>
      </c>
      <c r="I15" s="105">
        <f>SUMIFS('9.1 TH thu,chi PABT+GPMB nhanh '!J$10:J$19987,'9.1 TH thu,chi PABT+GPMB nhanh '!$D$10:$D$19987,'9.2 TH thu chi  theo Q.Định'!$C15,'9.1 TH thu,chi PABT+GPMB nhanh '!$E$10:$E$19987,'9.2 TH thu chi  theo Q.Định'!$D15,'9.1 TH thu,chi PABT+GPMB nhanh '!$F$10:$F$19987,'9.2 TH thu chi  theo Q.Định'!$E15,'9.1 TH thu,chi PABT+GPMB nhanh '!$G$10:$G$19987,'9.2 TH thu chi  theo Q.Định'!$F15,'9.1 TH thu,chi PABT+GPMB nhanh '!$B$10:$B$19987,'9.2 TH thu chi  theo Q.Định'!$B15)</f>
        <v>0</v>
      </c>
      <c r="J15" s="105">
        <f>SUMIFS('9.1 TH thu,chi PABT+GPMB nhanh '!K$10:K$19987,'9.1 TH thu,chi PABT+GPMB nhanh '!$D$10:$D$19987,'9.2 TH thu chi  theo Q.Định'!$C15,'9.1 TH thu,chi PABT+GPMB nhanh '!$E$10:$E$19987,'9.2 TH thu chi  theo Q.Định'!$D15,'9.1 TH thu,chi PABT+GPMB nhanh '!$F$10:$F$19987,'9.2 TH thu chi  theo Q.Định'!$E15,'9.1 TH thu,chi PABT+GPMB nhanh '!$G$10:$G$19987,'9.2 TH thu chi  theo Q.Định'!$F15,'9.1 TH thu,chi PABT+GPMB nhanh '!$B$10:$B$19987,'9.2 TH thu chi  theo Q.Định'!$B15)</f>
        <v>0</v>
      </c>
      <c r="K15" s="105">
        <f>SUMIFS('9.1 TH thu,chi PABT+GPMB nhanh '!L$10:L$19987,'9.1 TH thu,chi PABT+GPMB nhanh '!$D$10:$D$19987,'9.2 TH thu chi  theo Q.Định'!$C15,'9.1 TH thu,chi PABT+GPMB nhanh '!$E$10:$E$19987,'9.2 TH thu chi  theo Q.Định'!$D15,'9.1 TH thu,chi PABT+GPMB nhanh '!$F$10:$F$19987,'9.2 TH thu chi  theo Q.Định'!$E15,'9.1 TH thu,chi PABT+GPMB nhanh '!$G$10:$G$19987,'9.2 TH thu chi  theo Q.Định'!$F15,'9.1 TH thu,chi PABT+GPMB nhanh '!$B$10:$B$19987,'9.2 TH thu chi  theo Q.Định'!$B15)</f>
        <v>0</v>
      </c>
      <c r="L15" s="105">
        <f>SUMIFS('9.1 TH thu,chi PABT+GPMB nhanh '!M$10:M$19987,'9.1 TH thu,chi PABT+GPMB nhanh '!$D$10:$D$19987,'9.2 TH thu chi  theo Q.Định'!$C15,'9.1 TH thu,chi PABT+GPMB nhanh '!$E$10:$E$19987,'9.2 TH thu chi  theo Q.Định'!$D15,'9.1 TH thu,chi PABT+GPMB nhanh '!$F$10:$F$19987,'9.2 TH thu chi  theo Q.Định'!$E15,'9.1 TH thu,chi PABT+GPMB nhanh '!$G$10:$G$19987,'9.2 TH thu chi  theo Q.Định'!$F15,'9.1 TH thu,chi PABT+GPMB nhanh '!$B$10:$B$19987,'9.2 TH thu chi  theo Q.Định'!$B15)</f>
        <v>0</v>
      </c>
    </row>
    <row r="16" spans="1:13" x14ac:dyDescent="0.25">
      <c r="A16" s="88"/>
      <c r="B16" s="86"/>
      <c r="C16" s="86"/>
      <c r="D16" s="86"/>
      <c r="E16" s="86"/>
      <c r="F16" s="86"/>
      <c r="G16" s="105">
        <f>SUMIFS('9.1 TH thu,chi PABT+GPMB nhanh '!H$10:H$19987,'9.1 TH thu,chi PABT+GPMB nhanh '!$D$10:$D$19987,'9.2 TH thu chi  theo Q.Định'!$C16,'9.1 TH thu,chi PABT+GPMB nhanh '!$E$10:$E$19987,'9.2 TH thu chi  theo Q.Định'!$D16,'9.1 TH thu,chi PABT+GPMB nhanh '!$F$10:$F$19987,'9.2 TH thu chi  theo Q.Định'!$E16,'9.1 TH thu,chi PABT+GPMB nhanh '!$G$10:$G$19987,'9.2 TH thu chi  theo Q.Định'!$F16,'9.1 TH thu,chi PABT+GPMB nhanh '!$B$10:$B$19987,'9.2 TH thu chi  theo Q.Định'!$B16)</f>
        <v>0</v>
      </c>
      <c r="H16" s="105">
        <f>SUMIFS('9.1 TH thu,chi PABT+GPMB nhanh '!I$10:I$19987,'9.1 TH thu,chi PABT+GPMB nhanh '!$D$10:$D$19987,'9.2 TH thu chi  theo Q.Định'!$C16,'9.1 TH thu,chi PABT+GPMB nhanh '!$E$10:$E$19987,'9.2 TH thu chi  theo Q.Định'!$D16,'9.1 TH thu,chi PABT+GPMB nhanh '!$F$10:$F$19987,'9.2 TH thu chi  theo Q.Định'!$E16,'9.1 TH thu,chi PABT+GPMB nhanh '!$G$10:$G$19987,'9.2 TH thu chi  theo Q.Định'!$F16,'9.1 TH thu,chi PABT+GPMB nhanh '!$B$10:$B$19987,'9.2 TH thu chi  theo Q.Định'!$B16)</f>
        <v>0</v>
      </c>
      <c r="I16" s="105">
        <f>SUMIFS('9.1 TH thu,chi PABT+GPMB nhanh '!J$10:J$19987,'9.1 TH thu,chi PABT+GPMB nhanh '!$D$10:$D$19987,'9.2 TH thu chi  theo Q.Định'!$C16,'9.1 TH thu,chi PABT+GPMB nhanh '!$E$10:$E$19987,'9.2 TH thu chi  theo Q.Định'!$D16,'9.1 TH thu,chi PABT+GPMB nhanh '!$F$10:$F$19987,'9.2 TH thu chi  theo Q.Định'!$E16,'9.1 TH thu,chi PABT+GPMB nhanh '!$G$10:$G$19987,'9.2 TH thu chi  theo Q.Định'!$F16,'9.1 TH thu,chi PABT+GPMB nhanh '!$B$10:$B$19987,'9.2 TH thu chi  theo Q.Định'!$B16)</f>
        <v>0</v>
      </c>
      <c r="J16" s="105">
        <f>SUMIFS('9.1 TH thu,chi PABT+GPMB nhanh '!K$10:K$19987,'9.1 TH thu,chi PABT+GPMB nhanh '!$D$10:$D$19987,'9.2 TH thu chi  theo Q.Định'!$C16,'9.1 TH thu,chi PABT+GPMB nhanh '!$E$10:$E$19987,'9.2 TH thu chi  theo Q.Định'!$D16,'9.1 TH thu,chi PABT+GPMB nhanh '!$F$10:$F$19987,'9.2 TH thu chi  theo Q.Định'!$E16,'9.1 TH thu,chi PABT+GPMB nhanh '!$G$10:$G$19987,'9.2 TH thu chi  theo Q.Định'!$F16,'9.1 TH thu,chi PABT+GPMB nhanh '!$B$10:$B$19987,'9.2 TH thu chi  theo Q.Định'!$B16)</f>
        <v>0</v>
      </c>
      <c r="K16" s="105">
        <f>SUMIFS('9.1 TH thu,chi PABT+GPMB nhanh '!L$10:L$19987,'9.1 TH thu,chi PABT+GPMB nhanh '!$D$10:$D$19987,'9.2 TH thu chi  theo Q.Định'!$C16,'9.1 TH thu,chi PABT+GPMB nhanh '!$E$10:$E$19987,'9.2 TH thu chi  theo Q.Định'!$D16,'9.1 TH thu,chi PABT+GPMB nhanh '!$F$10:$F$19987,'9.2 TH thu chi  theo Q.Định'!$E16,'9.1 TH thu,chi PABT+GPMB nhanh '!$G$10:$G$19987,'9.2 TH thu chi  theo Q.Định'!$F16,'9.1 TH thu,chi PABT+GPMB nhanh '!$B$10:$B$19987,'9.2 TH thu chi  theo Q.Định'!$B16)</f>
        <v>0</v>
      </c>
      <c r="L16" s="105">
        <f>SUMIFS('9.1 TH thu,chi PABT+GPMB nhanh '!M$10:M$19987,'9.1 TH thu,chi PABT+GPMB nhanh '!$D$10:$D$19987,'9.2 TH thu chi  theo Q.Định'!$C16,'9.1 TH thu,chi PABT+GPMB nhanh '!$E$10:$E$19987,'9.2 TH thu chi  theo Q.Định'!$D16,'9.1 TH thu,chi PABT+GPMB nhanh '!$F$10:$F$19987,'9.2 TH thu chi  theo Q.Định'!$E16,'9.1 TH thu,chi PABT+GPMB nhanh '!$G$10:$G$19987,'9.2 TH thu chi  theo Q.Định'!$F16,'9.1 TH thu,chi PABT+GPMB nhanh '!$B$10:$B$19987,'9.2 TH thu chi  theo Q.Định'!$B16)</f>
        <v>0</v>
      </c>
    </row>
    <row r="17" spans="1:12" x14ac:dyDescent="0.25">
      <c r="A17" s="88"/>
      <c r="B17" s="86"/>
      <c r="C17" s="86"/>
      <c r="D17" s="86"/>
      <c r="E17" s="86"/>
      <c r="F17" s="86"/>
      <c r="G17" s="105">
        <f>SUMIFS('9.1 TH thu,chi PABT+GPMB nhanh '!H$10:H$19987,'9.1 TH thu,chi PABT+GPMB nhanh '!$D$10:$D$19987,'9.2 TH thu chi  theo Q.Định'!$C17,'9.1 TH thu,chi PABT+GPMB nhanh '!$E$10:$E$19987,'9.2 TH thu chi  theo Q.Định'!$D17,'9.1 TH thu,chi PABT+GPMB nhanh '!$F$10:$F$19987,'9.2 TH thu chi  theo Q.Định'!$E17,'9.1 TH thu,chi PABT+GPMB nhanh '!$G$10:$G$19987,'9.2 TH thu chi  theo Q.Định'!$F17,'9.1 TH thu,chi PABT+GPMB nhanh '!$B$10:$B$19987,'9.2 TH thu chi  theo Q.Định'!$B17)</f>
        <v>0</v>
      </c>
      <c r="H17" s="105">
        <f>SUMIFS('9.1 TH thu,chi PABT+GPMB nhanh '!I$10:I$19987,'9.1 TH thu,chi PABT+GPMB nhanh '!$D$10:$D$19987,'9.2 TH thu chi  theo Q.Định'!$C17,'9.1 TH thu,chi PABT+GPMB nhanh '!$E$10:$E$19987,'9.2 TH thu chi  theo Q.Định'!$D17,'9.1 TH thu,chi PABT+GPMB nhanh '!$F$10:$F$19987,'9.2 TH thu chi  theo Q.Định'!$E17,'9.1 TH thu,chi PABT+GPMB nhanh '!$G$10:$G$19987,'9.2 TH thu chi  theo Q.Định'!$F17,'9.1 TH thu,chi PABT+GPMB nhanh '!$B$10:$B$19987,'9.2 TH thu chi  theo Q.Định'!$B17)</f>
        <v>0</v>
      </c>
      <c r="I17" s="105">
        <f>SUMIFS('9.1 TH thu,chi PABT+GPMB nhanh '!J$10:J$19987,'9.1 TH thu,chi PABT+GPMB nhanh '!$D$10:$D$19987,'9.2 TH thu chi  theo Q.Định'!$C17,'9.1 TH thu,chi PABT+GPMB nhanh '!$E$10:$E$19987,'9.2 TH thu chi  theo Q.Định'!$D17,'9.1 TH thu,chi PABT+GPMB nhanh '!$F$10:$F$19987,'9.2 TH thu chi  theo Q.Định'!$E17,'9.1 TH thu,chi PABT+GPMB nhanh '!$G$10:$G$19987,'9.2 TH thu chi  theo Q.Định'!$F17,'9.1 TH thu,chi PABT+GPMB nhanh '!$B$10:$B$19987,'9.2 TH thu chi  theo Q.Định'!$B17)</f>
        <v>0</v>
      </c>
      <c r="J17" s="105">
        <f>SUMIFS('9.1 TH thu,chi PABT+GPMB nhanh '!K$10:K$19987,'9.1 TH thu,chi PABT+GPMB nhanh '!$D$10:$D$19987,'9.2 TH thu chi  theo Q.Định'!$C17,'9.1 TH thu,chi PABT+GPMB nhanh '!$E$10:$E$19987,'9.2 TH thu chi  theo Q.Định'!$D17,'9.1 TH thu,chi PABT+GPMB nhanh '!$F$10:$F$19987,'9.2 TH thu chi  theo Q.Định'!$E17,'9.1 TH thu,chi PABT+GPMB nhanh '!$G$10:$G$19987,'9.2 TH thu chi  theo Q.Định'!$F17,'9.1 TH thu,chi PABT+GPMB nhanh '!$B$10:$B$19987,'9.2 TH thu chi  theo Q.Định'!$B17)</f>
        <v>0</v>
      </c>
      <c r="K17" s="105">
        <f>SUMIFS('9.1 TH thu,chi PABT+GPMB nhanh '!L$10:L$19987,'9.1 TH thu,chi PABT+GPMB nhanh '!$D$10:$D$19987,'9.2 TH thu chi  theo Q.Định'!$C17,'9.1 TH thu,chi PABT+GPMB nhanh '!$E$10:$E$19987,'9.2 TH thu chi  theo Q.Định'!$D17,'9.1 TH thu,chi PABT+GPMB nhanh '!$F$10:$F$19987,'9.2 TH thu chi  theo Q.Định'!$E17,'9.1 TH thu,chi PABT+GPMB nhanh '!$G$10:$G$19987,'9.2 TH thu chi  theo Q.Định'!$F17,'9.1 TH thu,chi PABT+GPMB nhanh '!$B$10:$B$19987,'9.2 TH thu chi  theo Q.Định'!$B17)</f>
        <v>0</v>
      </c>
      <c r="L17" s="105">
        <f>SUMIFS('9.1 TH thu,chi PABT+GPMB nhanh '!M$10:M$19987,'9.1 TH thu,chi PABT+GPMB nhanh '!$D$10:$D$19987,'9.2 TH thu chi  theo Q.Định'!$C17,'9.1 TH thu,chi PABT+GPMB nhanh '!$E$10:$E$19987,'9.2 TH thu chi  theo Q.Định'!$D17,'9.1 TH thu,chi PABT+GPMB nhanh '!$F$10:$F$19987,'9.2 TH thu chi  theo Q.Định'!$E17,'9.1 TH thu,chi PABT+GPMB nhanh '!$G$10:$G$19987,'9.2 TH thu chi  theo Q.Định'!$F17,'9.1 TH thu,chi PABT+GPMB nhanh '!$B$10:$B$19987,'9.2 TH thu chi  theo Q.Định'!$B17)</f>
        <v>0</v>
      </c>
    </row>
    <row r="18" spans="1:12" x14ac:dyDescent="0.25">
      <c r="A18" s="88"/>
      <c r="B18" s="86"/>
      <c r="C18" s="86"/>
      <c r="D18" s="86"/>
      <c r="E18" s="86"/>
      <c r="F18" s="86"/>
      <c r="G18" s="105">
        <f>SUMIFS('9.1 TH thu,chi PABT+GPMB nhanh '!H$10:H$19987,'9.1 TH thu,chi PABT+GPMB nhanh '!$D$10:$D$19987,'9.2 TH thu chi  theo Q.Định'!$C18,'9.1 TH thu,chi PABT+GPMB nhanh '!$E$10:$E$19987,'9.2 TH thu chi  theo Q.Định'!$D18,'9.1 TH thu,chi PABT+GPMB nhanh '!$F$10:$F$19987,'9.2 TH thu chi  theo Q.Định'!$E18,'9.1 TH thu,chi PABT+GPMB nhanh '!$G$10:$G$19987,'9.2 TH thu chi  theo Q.Định'!$F18,'9.1 TH thu,chi PABT+GPMB nhanh '!$B$10:$B$19987,'9.2 TH thu chi  theo Q.Định'!$B18)</f>
        <v>0</v>
      </c>
      <c r="H18" s="105">
        <f>SUMIFS('9.1 TH thu,chi PABT+GPMB nhanh '!I$10:I$19987,'9.1 TH thu,chi PABT+GPMB nhanh '!$D$10:$D$19987,'9.2 TH thu chi  theo Q.Định'!$C18,'9.1 TH thu,chi PABT+GPMB nhanh '!$E$10:$E$19987,'9.2 TH thu chi  theo Q.Định'!$D18,'9.1 TH thu,chi PABT+GPMB nhanh '!$F$10:$F$19987,'9.2 TH thu chi  theo Q.Định'!$E18,'9.1 TH thu,chi PABT+GPMB nhanh '!$G$10:$G$19987,'9.2 TH thu chi  theo Q.Định'!$F18,'9.1 TH thu,chi PABT+GPMB nhanh '!$B$10:$B$19987,'9.2 TH thu chi  theo Q.Định'!$B18)</f>
        <v>0</v>
      </c>
      <c r="I18" s="105">
        <f>SUMIFS('9.1 TH thu,chi PABT+GPMB nhanh '!J$10:J$19987,'9.1 TH thu,chi PABT+GPMB nhanh '!$D$10:$D$19987,'9.2 TH thu chi  theo Q.Định'!$C18,'9.1 TH thu,chi PABT+GPMB nhanh '!$E$10:$E$19987,'9.2 TH thu chi  theo Q.Định'!$D18,'9.1 TH thu,chi PABT+GPMB nhanh '!$F$10:$F$19987,'9.2 TH thu chi  theo Q.Định'!$E18,'9.1 TH thu,chi PABT+GPMB nhanh '!$G$10:$G$19987,'9.2 TH thu chi  theo Q.Định'!$F18,'9.1 TH thu,chi PABT+GPMB nhanh '!$B$10:$B$19987,'9.2 TH thu chi  theo Q.Định'!$B18)</f>
        <v>0</v>
      </c>
      <c r="J18" s="105">
        <f>SUMIFS('9.1 TH thu,chi PABT+GPMB nhanh '!K$10:K$19987,'9.1 TH thu,chi PABT+GPMB nhanh '!$D$10:$D$19987,'9.2 TH thu chi  theo Q.Định'!$C18,'9.1 TH thu,chi PABT+GPMB nhanh '!$E$10:$E$19987,'9.2 TH thu chi  theo Q.Định'!$D18,'9.1 TH thu,chi PABT+GPMB nhanh '!$F$10:$F$19987,'9.2 TH thu chi  theo Q.Định'!$E18,'9.1 TH thu,chi PABT+GPMB nhanh '!$G$10:$G$19987,'9.2 TH thu chi  theo Q.Định'!$F18,'9.1 TH thu,chi PABT+GPMB nhanh '!$B$10:$B$19987,'9.2 TH thu chi  theo Q.Định'!$B18)</f>
        <v>0</v>
      </c>
      <c r="K18" s="105">
        <f>SUMIFS('9.1 TH thu,chi PABT+GPMB nhanh '!L$10:L$19987,'9.1 TH thu,chi PABT+GPMB nhanh '!$D$10:$D$19987,'9.2 TH thu chi  theo Q.Định'!$C18,'9.1 TH thu,chi PABT+GPMB nhanh '!$E$10:$E$19987,'9.2 TH thu chi  theo Q.Định'!$D18,'9.1 TH thu,chi PABT+GPMB nhanh '!$F$10:$F$19987,'9.2 TH thu chi  theo Q.Định'!$E18,'9.1 TH thu,chi PABT+GPMB nhanh '!$G$10:$G$19987,'9.2 TH thu chi  theo Q.Định'!$F18,'9.1 TH thu,chi PABT+GPMB nhanh '!$B$10:$B$19987,'9.2 TH thu chi  theo Q.Định'!$B18)</f>
        <v>0</v>
      </c>
      <c r="L18" s="105">
        <f>SUMIFS('9.1 TH thu,chi PABT+GPMB nhanh '!M$10:M$19987,'9.1 TH thu,chi PABT+GPMB nhanh '!$D$10:$D$19987,'9.2 TH thu chi  theo Q.Định'!$C18,'9.1 TH thu,chi PABT+GPMB nhanh '!$E$10:$E$19987,'9.2 TH thu chi  theo Q.Định'!$D18,'9.1 TH thu,chi PABT+GPMB nhanh '!$F$10:$F$19987,'9.2 TH thu chi  theo Q.Định'!$E18,'9.1 TH thu,chi PABT+GPMB nhanh '!$G$10:$G$19987,'9.2 TH thu chi  theo Q.Định'!$F18,'9.1 TH thu,chi PABT+GPMB nhanh '!$B$10:$B$19987,'9.2 TH thu chi  theo Q.Định'!$B18)</f>
        <v>0</v>
      </c>
    </row>
    <row r="19" spans="1:12" x14ac:dyDescent="0.25">
      <c r="A19" s="88"/>
      <c r="B19" s="86"/>
      <c r="C19" s="86"/>
      <c r="D19" s="86"/>
      <c r="E19" s="86"/>
      <c r="F19" s="86"/>
      <c r="G19" s="105">
        <f>SUMIFS('9.1 TH thu,chi PABT+GPMB nhanh '!H$10:H$19987,'9.1 TH thu,chi PABT+GPMB nhanh '!$D$10:$D$19987,'9.2 TH thu chi  theo Q.Định'!$C19,'9.1 TH thu,chi PABT+GPMB nhanh '!$E$10:$E$19987,'9.2 TH thu chi  theo Q.Định'!$D19,'9.1 TH thu,chi PABT+GPMB nhanh '!$F$10:$F$19987,'9.2 TH thu chi  theo Q.Định'!$E19,'9.1 TH thu,chi PABT+GPMB nhanh '!$G$10:$G$19987,'9.2 TH thu chi  theo Q.Định'!$F19,'9.1 TH thu,chi PABT+GPMB nhanh '!$B$10:$B$19987,'9.2 TH thu chi  theo Q.Định'!$B19)</f>
        <v>0</v>
      </c>
      <c r="H19" s="105">
        <f>SUMIFS('9.1 TH thu,chi PABT+GPMB nhanh '!I$10:I$19987,'9.1 TH thu,chi PABT+GPMB nhanh '!$D$10:$D$19987,'9.2 TH thu chi  theo Q.Định'!$C19,'9.1 TH thu,chi PABT+GPMB nhanh '!$E$10:$E$19987,'9.2 TH thu chi  theo Q.Định'!$D19,'9.1 TH thu,chi PABT+GPMB nhanh '!$F$10:$F$19987,'9.2 TH thu chi  theo Q.Định'!$E19,'9.1 TH thu,chi PABT+GPMB nhanh '!$G$10:$G$19987,'9.2 TH thu chi  theo Q.Định'!$F19,'9.1 TH thu,chi PABT+GPMB nhanh '!$B$10:$B$19987,'9.2 TH thu chi  theo Q.Định'!$B19)</f>
        <v>0</v>
      </c>
      <c r="I19" s="105">
        <f>SUMIFS('9.1 TH thu,chi PABT+GPMB nhanh '!J$10:J$19987,'9.1 TH thu,chi PABT+GPMB nhanh '!$D$10:$D$19987,'9.2 TH thu chi  theo Q.Định'!$C19,'9.1 TH thu,chi PABT+GPMB nhanh '!$E$10:$E$19987,'9.2 TH thu chi  theo Q.Định'!$D19,'9.1 TH thu,chi PABT+GPMB nhanh '!$F$10:$F$19987,'9.2 TH thu chi  theo Q.Định'!$E19,'9.1 TH thu,chi PABT+GPMB nhanh '!$G$10:$G$19987,'9.2 TH thu chi  theo Q.Định'!$F19,'9.1 TH thu,chi PABT+GPMB nhanh '!$B$10:$B$19987,'9.2 TH thu chi  theo Q.Định'!$B19)</f>
        <v>0</v>
      </c>
      <c r="J19" s="105">
        <f>SUMIFS('9.1 TH thu,chi PABT+GPMB nhanh '!K$10:K$19987,'9.1 TH thu,chi PABT+GPMB nhanh '!$D$10:$D$19987,'9.2 TH thu chi  theo Q.Định'!$C19,'9.1 TH thu,chi PABT+GPMB nhanh '!$E$10:$E$19987,'9.2 TH thu chi  theo Q.Định'!$D19,'9.1 TH thu,chi PABT+GPMB nhanh '!$F$10:$F$19987,'9.2 TH thu chi  theo Q.Định'!$E19,'9.1 TH thu,chi PABT+GPMB nhanh '!$G$10:$G$19987,'9.2 TH thu chi  theo Q.Định'!$F19,'9.1 TH thu,chi PABT+GPMB nhanh '!$B$10:$B$19987,'9.2 TH thu chi  theo Q.Định'!$B19)</f>
        <v>0</v>
      </c>
      <c r="K19" s="105">
        <f>SUMIFS('9.1 TH thu,chi PABT+GPMB nhanh '!L$10:L$19987,'9.1 TH thu,chi PABT+GPMB nhanh '!$D$10:$D$19987,'9.2 TH thu chi  theo Q.Định'!$C19,'9.1 TH thu,chi PABT+GPMB nhanh '!$E$10:$E$19987,'9.2 TH thu chi  theo Q.Định'!$D19,'9.1 TH thu,chi PABT+GPMB nhanh '!$F$10:$F$19987,'9.2 TH thu chi  theo Q.Định'!$E19,'9.1 TH thu,chi PABT+GPMB nhanh '!$G$10:$G$19987,'9.2 TH thu chi  theo Q.Định'!$F19,'9.1 TH thu,chi PABT+GPMB nhanh '!$B$10:$B$19987,'9.2 TH thu chi  theo Q.Định'!$B19)</f>
        <v>0</v>
      </c>
      <c r="L19" s="105">
        <f>SUMIFS('9.1 TH thu,chi PABT+GPMB nhanh '!M$10:M$19987,'9.1 TH thu,chi PABT+GPMB nhanh '!$D$10:$D$19987,'9.2 TH thu chi  theo Q.Định'!$C19,'9.1 TH thu,chi PABT+GPMB nhanh '!$E$10:$E$19987,'9.2 TH thu chi  theo Q.Định'!$D19,'9.1 TH thu,chi PABT+GPMB nhanh '!$F$10:$F$19987,'9.2 TH thu chi  theo Q.Định'!$E19,'9.1 TH thu,chi PABT+GPMB nhanh '!$G$10:$G$19987,'9.2 TH thu chi  theo Q.Định'!$F19,'9.1 TH thu,chi PABT+GPMB nhanh '!$B$10:$B$19987,'9.2 TH thu chi  theo Q.Định'!$B19)</f>
        <v>0</v>
      </c>
    </row>
    <row r="20" spans="1:12" x14ac:dyDescent="0.25">
      <c r="A20" s="88"/>
      <c r="B20" s="86"/>
      <c r="C20" s="86"/>
      <c r="D20" s="86"/>
      <c r="E20" s="86"/>
      <c r="F20" s="86"/>
      <c r="G20" s="105">
        <f>SUMIFS('9.1 TH thu,chi PABT+GPMB nhanh '!H$10:H$19987,'9.1 TH thu,chi PABT+GPMB nhanh '!$D$10:$D$19987,'9.2 TH thu chi  theo Q.Định'!$C20,'9.1 TH thu,chi PABT+GPMB nhanh '!$E$10:$E$19987,'9.2 TH thu chi  theo Q.Định'!$D20,'9.1 TH thu,chi PABT+GPMB nhanh '!$F$10:$F$19987,'9.2 TH thu chi  theo Q.Định'!$E20,'9.1 TH thu,chi PABT+GPMB nhanh '!$G$10:$G$19987,'9.2 TH thu chi  theo Q.Định'!$F20,'9.1 TH thu,chi PABT+GPMB nhanh '!$B$10:$B$19987,'9.2 TH thu chi  theo Q.Định'!$B20)</f>
        <v>0</v>
      </c>
      <c r="H20" s="105">
        <f>SUMIFS('9.1 TH thu,chi PABT+GPMB nhanh '!I$10:I$19987,'9.1 TH thu,chi PABT+GPMB nhanh '!$D$10:$D$19987,'9.2 TH thu chi  theo Q.Định'!$C20,'9.1 TH thu,chi PABT+GPMB nhanh '!$E$10:$E$19987,'9.2 TH thu chi  theo Q.Định'!$D20,'9.1 TH thu,chi PABT+GPMB nhanh '!$F$10:$F$19987,'9.2 TH thu chi  theo Q.Định'!$E20,'9.1 TH thu,chi PABT+GPMB nhanh '!$G$10:$G$19987,'9.2 TH thu chi  theo Q.Định'!$F20,'9.1 TH thu,chi PABT+GPMB nhanh '!$B$10:$B$19987,'9.2 TH thu chi  theo Q.Định'!$B20)</f>
        <v>0</v>
      </c>
      <c r="I20" s="105">
        <f>SUMIFS('9.1 TH thu,chi PABT+GPMB nhanh '!J$10:J$19987,'9.1 TH thu,chi PABT+GPMB nhanh '!$D$10:$D$19987,'9.2 TH thu chi  theo Q.Định'!$C20,'9.1 TH thu,chi PABT+GPMB nhanh '!$E$10:$E$19987,'9.2 TH thu chi  theo Q.Định'!$D20,'9.1 TH thu,chi PABT+GPMB nhanh '!$F$10:$F$19987,'9.2 TH thu chi  theo Q.Định'!$E20,'9.1 TH thu,chi PABT+GPMB nhanh '!$G$10:$G$19987,'9.2 TH thu chi  theo Q.Định'!$F20,'9.1 TH thu,chi PABT+GPMB nhanh '!$B$10:$B$19987,'9.2 TH thu chi  theo Q.Định'!$B20)</f>
        <v>0</v>
      </c>
      <c r="J20" s="105">
        <f>SUMIFS('9.1 TH thu,chi PABT+GPMB nhanh '!K$10:K$19987,'9.1 TH thu,chi PABT+GPMB nhanh '!$D$10:$D$19987,'9.2 TH thu chi  theo Q.Định'!$C20,'9.1 TH thu,chi PABT+GPMB nhanh '!$E$10:$E$19987,'9.2 TH thu chi  theo Q.Định'!$D20,'9.1 TH thu,chi PABT+GPMB nhanh '!$F$10:$F$19987,'9.2 TH thu chi  theo Q.Định'!$E20,'9.1 TH thu,chi PABT+GPMB nhanh '!$G$10:$G$19987,'9.2 TH thu chi  theo Q.Định'!$F20,'9.1 TH thu,chi PABT+GPMB nhanh '!$B$10:$B$19987,'9.2 TH thu chi  theo Q.Định'!$B20)</f>
        <v>0</v>
      </c>
      <c r="K20" s="105">
        <f>SUMIFS('9.1 TH thu,chi PABT+GPMB nhanh '!L$10:L$19987,'9.1 TH thu,chi PABT+GPMB nhanh '!$D$10:$D$19987,'9.2 TH thu chi  theo Q.Định'!$C20,'9.1 TH thu,chi PABT+GPMB nhanh '!$E$10:$E$19987,'9.2 TH thu chi  theo Q.Định'!$D20,'9.1 TH thu,chi PABT+GPMB nhanh '!$F$10:$F$19987,'9.2 TH thu chi  theo Q.Định'!$E20,'9.1 TH thu,chi PABT+GPMB nhanh '!$G$10:$G$19987,'9.2 TH thu chi  theo Q.Định'!$F20,'9.1 TH thu,chi PABT+GPMB nhanh '!$B$10:$B$19987,'9.2 TH thu chi  theo Q.Định'!$B20)</f>
        <v>0</v>
      </c>
      <c r="L20" s="105">
        <f>SUMIFS('9.1 TH thu,chi PABT+GPMB nhanh '!M$10:M$19987,'9.1 TH thu,chi PABT+GPMB nhanh '!$D$10:$D$19987,'9.2 TH thu chi  theo Q.Định'!$C20,'9.1 TH thu,chi PABT+GPMB nhanh '!$E$10:$E$19987,'9.2 TH thu chi  theo Q.Định'!$D20,'9.1 TH thu,chi PABT+GPMB nhanh '!$F$10:$F$19987,'9.2 TH thu chi  theo Q.Định'!$E20,'9.1 TH thu,chi PABT+GPMB nhanh '!$G$10:$G$19987,'9.2 TH thu chi  theo Q.Định'!$F20,'9.1 TH thu,chi PABT+GPMB nhanh '!$B$10:$B$19987,'9.2 TH thu chi  theo Q.Định'!$B20)</f>
        <v>0</v>
      </c>
    </row>
    <row r="21" spans="1:12" x14ac:dyDescent="0.25">
      <c r="A21" s="88"/>
      <c r="B21" s="86"/>
      <c r="C21" s="86"/>
      <c r="D21" s="86"/>
      <c r="E21" s="86"/>
      <c r="F21" s="86"/>
      <c r="G21" s="105">
        <f>SUMIFS('9.1 TH thu,chi PABT+GPMB nhanh '!H$10:H$19987,'9.1 TH thu,chi PABT+GPMB nhanh '!$D$10:$D$19987,'9.2 TH thu chi  theo Q.Định'!$C21,'9.1 TH thu,chi PABT+GPMB nhanh '!$E$10:$E$19987,'9.2 TH thu chi  theo Q.Định'!$D21,'9.1 TH thu,chi PABT+GPMB nhanh '!$F$10:$F$19987,'9.2 TH thu chi  theo Q.Định'!$E21,'9.1 TH thu,chi PABT+GPMB nhanh '!$G$10:$G$19987,'9.2 TH thu chi  theo Q.Định'!$F21,'9.1 TH thu,chi PABT+GPMB nhanh '!$B$10:$B$19987,'9.2 TH thu chi  theo Q.Định'!$B21)</f>
        <v>0</v>
      </c>
      <c r="H21" s="105">
        <f>SUMIFS('9.1 TH thu,chi PABT+GPMB nhanh '!I$10:I$19987,'9.1 TH thu,chi PABT+GPMB nhanh '!$D$10:$D$19987,'9.2 TH thu chi  theo Q.Định'!$C21,'9.1 TH thu,chi PABT+GPMB nhanh '!$E$10:$E$19987,'9.2 TH thu chi  theo Q.Định'!$D21,'9.1 TH thu,chi PABT+GPMB nhanh '!$F$10:$F$19987,'9.2 TH thu chi  theo Q.Định'!$E21,'9.1 TH thu,chi PABT+GPMB nhanh '!$G$10:$G$19987,'9.2 TH thu chi  theo Q.Định'!$F21,'9.1 TH thu,chi PABT+GPMB nhanh '!$B$10:$B$19987,'9.2 TH thu chi  theo Q.Định'!$B21)</f>
        <v>0</v>
      </c>
      <c r="I21" s="105">
        <f>SUMIFS('9.1 TH thu,chi PABT+GPMB nhanh '!J$10:J$19987,'9.1 TH thu,chi PABT+GPMB nhanh '!$D$10:$D$19987,'9.2 TH thu chi  theo Q.Định'!$C21,'9.1 TH thu,chi PABT+GPMB nhanh '!$E$10:$E$19987,'9.2 TH thu chi  theo Q.Định'!$D21,'9.1 TH thu,chi PABT+GPMB nhanh '!$F$10:$F$19987,'9.2 TH thu chi  theo Q.Định'!$E21,'9.1 TH thu,chi PABT+GPMB nhanh '!$G$10:$G$19987,'9.2 TH thu chi  theo Q.Định'!$F21,'9.1 TH thu,chi PABT+GPMB nhanh '!$B$10:$B$19987,'9.2 TH thu chi  theo Q.Định'!$B21)</f>
        <v>0</v>
      </c>
      <c r="J21" s="105">
        <f>SUMIFS('9.1 TH thu,chi PABT+GPMB nhanh '!K$10:K$19987,'9.1 TH thu,chi PABT+GPMB nhanh '!$D$10:$D$19987,'9.2 TH thu chi  theo Q.Định'!$C21,'9.1 TH thu,chi PABT+GPMB nhanh '!$E$10:$E$19987,'9.2 TH thu chi  theo Q.Định'!$D21,'9.1 TH thu,chi PABT+GPMB nhanh '!$F$10:$F$19987,'9.2 TH thu chi  theo Q.Định'!$E21,'9.1 TH thu,chi PABT+GPMB nhanh '!$G$10:$G$19987,'9.2 TH thu chi  theo Q.Định'!$F21,'9.1 TH thu,chi PABT+GPMB nhanh '!$B$10:$B$19987,'9.2 TH thu chi  theo Q.Định'!$B21)</f>
        <v>0</v>
      </c>
      <c r="K21" s="105">
        <f>SUMIFS('9.1 TH thu,chi PABT+GPMB nhanh '!L$10:L$19987,'9.1 TH thu,chi PABT+GPMB nhanh '!$D$10:$D$19987,'9.2 TH thu chi  theo Q.Định'!$C21,'9.1 TH thu,chi PABT+GPMB nhanh '!$E$10:$E$19987,'9.2 TH thu chi  theo Q.Định'!$D21,'9.1 TH thu,chi PABT+GPMB nhanh '!$F$10:$F$19987,'9.2 TH thu chi  theo Q.Định'!$E21,'9.1 TH thu,chi PABT+GPMB nhanh '!$G$10:$G$19987,'9.2 TH thu chi  theo Q.Định'!$F21,'9.1 TH thu,chi PABT+GPMB nhanh '!$B$10:$B$19987,'9.2 TH thu chi  theo Q.Định'!$B21)</f>
        <v>0</v>
      </c>
      <c r="L21" s="105">
        <f>SUMIFS('9.1 TH thu,chi PABT+GPMB nhanh '!M$10:M$19987,'9.1 TH thu,chi PABT+GPMB nhanh '!$D$10:$D$19987,'9.2 TH thu chi  theo Q.Định'!$C21,'9.1 TH thu,chi PABT+GPMB nhanh '!$E$10:$E$19987,'9.2 TH thu chi  theo Q.Định'!$D21,'9.1 TH thu,chi PABT+GPMB nhanh '!$F$10:$F$19987,'9.2 TH thu chi  theo Q.Định'!$E21,'9.1 TH thu,chi PABT+GPMB nhanh '!$G$10:$G$19987,'9.2 TH thu chi  theo Q.Định'!$F21,'9.1 TH thu,chi PABT+GPMB nhanh '!$B$10:$B$19987,'9.2 TH thu chi  theo Q.Định'!$B21)</f>
        <v>0</v>
      </c>
    </row>
    <row r="22" spans="1:12" x14ac:dyDescent="0.25">
      <c r="A22" s="88"/>
      <c r="B22" s="86"/>
      <c r="C22" s="86"/>
      <c r="D22" s="86"/>
      <c r="E22" s="86"/>
      <c r="F22" s="86"/>
      <c r="G22" s="105">
        <f>SUMIFS('9.1 TH thu,chi PABT+GPMB nhanh '!H$10:H$19987,'9.1 TH thu,chi PABT+GPMB nhanh '!$D$10:$D$19987,'9.2 TH thu chi  theo Q.Định'!$C22,'9.1 TH thu,chi PABT+GPMB nhanh '!$E$10:$E$19987,'9.2 TH thu chi  theo Q.Định'!$D22,'9.1 TH thu,chi PABT+GPMB nhanh '!$F$10:$F$19987,'9.2 TH thu chi  theo Q.Định'!$E22,'9.1 TH thu,chi PABT+GPMB nhanh '!$G$10:$G$19987,'9.2 TH thu chi  theo Q.Định'!$F22,'9.1 TH thu,chi PABT+GPMB nhanh '!$B$10:$B$19987,'9.2 TH thu chi  theo Q.Định'!$B22)</f>
        <v>0</v>
      </c>
      <c r="H22" s="105">
        <f>SUMIFS('9.1 TH thu,chi PABT+GPMB nhanh '!I$10:I$19987,'9.1 TH thu,chi PABT+GPMB nhanh '!$D$10:$D$19987,'9.2 TH thu chi  theo Q.Định'!$C22,'9.1 TH thu,chi PABT+GPMB nhanh '!$E$10:$E$19987,'9.2 TH thu chi  theo Q.Định'!$D22,'9.1 TH thu,chi PABT+GPMB nhanh '!$F$10:$F$19987,'9.2 TH thu chi  theo Q.Định'!$E22,'9.1 TH thu,chi PABT+GPMB nhanh '!$G$10:$G$19987,'9.2 TH thu chi  theo Q.Định'!$F22,'9.1 TH thu,chi PABT+GPMB nhanh '!$B$10:$B$19987,'9.2 TH thu chi  theo Q.Định'!$B22)</f>
        <v>0</v>
      </c>
      <c r="I22" s="105">
        <f>SUMIFS('9.1 TH thu,chi PABT+GPMB nhanh '!J$10:J$19987,'9.1 TH thu,chi PABT+GPMB nhanh '!$D$10:$D$19987,'9.2 TH thu chi  theo Q.Định'!$C22,'9.1 TH thu,chi PABT+GPMB nhanh '!$E$10:$E$19987,'9.2 TH thu chi  theo Q.Định'!$D22,'9.1 TH thu,chi PABT+GPMB nhanh '!$F$10:$F$19987,'9.2 TH thu chi  theo Q.Định'!$E22,'9.1 TH thu,chi PABT+GPMB nhanh '!$G$10:$G$19987,'9.2 TH thu chi  theo Q.Định'!$F22,'9.1 TH thu,chi PABT+GPMB nhanh '!$B$10:$B$19987,'9.2 TH thu chi  theo Q.Định'!$B22)</f>
        <v>0</v>
      </c>
      <c r="J22" s="105">
        <f>SUMIFS('9.1 TH thu,chi PABT+GPMB nhanh '!K$10:K$19987,'9.1 TH thu,chi PABT+GPMB nhanh '!$D$10:$D$19987,'9.2 TH thu chi  theo Q.Định'!$C22,'9.1 TH thu,chi PABT+GPMB nhanh '!$E$10:$E$19987,'9.2 TH thu chi  theo Q.Định'!$D22,'9.1 TH thu,chi PABT+GPMB nhanh '!$F$10:$F$19987,'9.2 TH thu chi  theo Q.Định'!$E22,'9.1 TH thu,chi PABT+GPMB nhanh '!$G$10:$G$19987,'9.2 TH thu chi  theo Q.Định'!$F22,'9.1 TH thu,chi PABT+GPMB nhanh '!$B$10:$B$19987,'9.2 TH thu chi  theo Q.Định'!$B22)</f>
        <v>0</v>
      </c>
      <c r="K22" s="105">
        <f>SUMIFS('9.1 TH thu,chi PABT+GPMB nhanh '!L$10:L$19987,'9.1 TH thu,chi PABT+GPMB nhanh '!$D$10:$D$19987,'9.2 TH thu chi  theo Q.Định'!$C22,'9.1 TH thu,chi PABT+GPMB nhanh '!$E$10:$E$19987,'9.2 TH thu chi  theo Q.Định'!$D22,'9.1 TH thu,chi PABT+GPMB nhanh '!$F$10:$F$19987,'9.2 TH thu chi  theo Q.Định'!$E22,'9.1 TH thu,chi PABT+GPMB nhanh '!$G$10:$G$19987,'9.2 TH thu chi  theo Q.Định'!$F22,'9.1 TH thu,chi PABT+GPMB nhanh '!$B$10:$B$19987,'9.2 TH thu chi  theo Q.Định'!$B22)</f>
        <v>0</v>
      </c>
      <c r="L22" s="105">
        <f>SUMIFS('9.1 TH thu,chi PABT+GPMB nhanh '!M$10:M$19987,'9.1 TH thu,chi PABT+GPMB nhanh '!$D$10:$D$19987,'9.2 TH thu chi  theo Q.Định'!$C22,'9.1 TH thu,chi PABT+GPMB nhanh '!$E$10:$E$19987,'9.2 TH thu chi  theo Q.Định'!$D22,'9.1 TH thu,chi PABT+GPMB nhanh '!$F$10:$F$19987,'9.2 TH thu chi  theo Q.Định'!$E22,'9.1 TH thu,chi PABT+GPMB nhanh '!$G$10:$G$19987,'9.2 TH thu chi  theo Q.Định'!$F22,'9.1 TH thu,chi PABT+GPMB nhanh '!$B$10:$B$19987,'9.2 TH thu chi  theo Q.Định'!$B22)</f>
        <v>0</v>
      </c>
    </row>
    <row r="23" spans="1:12" x14ac:dyDescent="0.25">
      <c r="A23" s="88"/>
      <c r="B23" s="86"/>
      <c r="C23" s="86"/>
      <c r="D23" s="86"/>
      <c r="E23" s="86"/>
      <c r="F23" s="86"/>
      <c r="G23" s="105">
        <f>SUMIFS('9.1 TH thu,chi PABT+GPMB nhanh '!H$10:H$19987,'9.1 TH thu,chi PABT+GPMB nhanh '!$D$10:$D$19987,'9.2 TH thu chi  theo Q.Định'!$C23,'9.1 TH thu,chi PABT+GPMB nhanh '!$E$10:$E$19987,'9.2 TH thu chi  theo Q.Định'!$D23,'9.1 TH thu,chi PABT+GPMB nhanh '!$F$10:$F$19987,'9.2 TH thu chi  theo Q.Định'!$E23,'9.1 TH thu,chi PABT+GPMB nhanh '!$G$10:$G$19987,'9.2 TH thu chi  theo Q.Định'!$F23,'9.1 TH thu,chi PABT+GPMB nhanh '!$B$10:$B$19987,'9.2 TH thu chi  theo Q.Định'!$B23)</f>
        <v>0</v>
      </c>
      <c r="H23" s="105">
        <f>SUMIFS('9.1 TH thu,chi PABT+GPMB nhanh '!I$10:I$19987,'9.1 TH thu,chi PABT+GPMB nhanh '!$D$10:$D$19987,'9.2 TH thu chi  theo Q.Định'!$C23,'9.1 TH thu,chi PABT+GPMB nhanh '!$E$10:$E$19987,'9.2 TH thu chi  theo Q.Định'!$D23,'9.1 TH thu,chi PABT+GPMB nhanh '!$F$10:$F$19987,'9.2 TH thu chi  theo Q.Định'!$E23,'9.1 TH thu,chi PABT+GPMB nhanh '!$G$10:$G$19987,'9.2 TH thu chi  theo Q.Định'!$F23,'9.1 TH thu,chi PABT+GPMB nhanh '!$B$10:$B$19987,'9.2 TH thu chi  theo Q.Định'!$B23)</f>
        <v>0</v>
      </c>
      <c r="I23" s="105">
        <f>SUMIFS('9.1 TH thu,chi PABT+GPMB nhanh '!J$10:J$19987,'9.1 TH thu,chi PABT+GPMB nhanh '!$D$10:$D$19987,'9.2 TH thu chi  theo Q.Định'!$C23,'9.1 TH thu,chi PABT+GPMB nhanh '!$E$10:$E$19987,'9.2 TH thu chi  theo Q.Định'!$D23,'9.1 TH thu,chi PABT+GPMB nhanh '!$F$10:$F$19987,'9.2 TH thu chi  theo Q.Định'!$E23,'9.1 TH thu,chi PABT+GPMB nhanh '!$G$10:$G$19987,'9.2 TH thu chi  theo Q.Định'!$F23,'9.1 TH thu,chi PABT+GPMB nhanh '!$B$10:$B$19987,'9.2 TH thu chi  theo Q.Định'!$B23)</f>
        <v>0</v>
      </c>
      <c r="J23" s="105">
        <f>SUMIFS('9.1 TH thu,chi PABT+GPMB nhanh '!K$10:K$19987,'9.1 TH thu,chi PABT+GPMB nhanh '!$D$10:$D$19987,'9.2 TH thu chi  theo Q.Định'!$C23,'9.1 TH thu,chi PABT+GPMB nhanh '!$E$10:$E$19987,'9.2 TH thu chi  theo Q.Định'!$D23,'9.1 TH thu,chi PABT+GPMB nhanh '!$F$10:$F$19987,'9.2 TH thu chi  theo Q.Định'!$E23,'9.1 TH thu,chi PABT+GPMB nhanh '!$G$10:$G$19987,'9.2 TH thu chi  theo Q.Định'!$F23,'9.1 TH thu,chi PABT+GPMB nhanh '!$B$10:$B$19987,'9.2 TH thu chi  theo Q.Định'!$B23)</f>
        <v>0</v>
      </c>
      <c r="K23" s="105">
        <f>SUMIFS('9.1 TH thu,chi PABT+GPMB nhanh '!L$10:L$19987,'9.1 TH thu,chi PABT+GPMB nhanh '!$D$10:$D$19987,'9.2 TH thu chi  theo Q.Định'!$C23,'9.1 TH thu,chi PABT+GPMB nhanh '!$E$10:$E$19987,'9.2 TH thu chi  theo Q.Định'!$D23,'9.1 TH thu,chi PABT+GPMB nhanh '!$F$10:$F$19987,'9.2 TH thu chi  theo Q.Định'!$E23,'9.1 TH thu,chi PABT+GPMB nhanh '!$G$10:$G$19987,'9.2 TH thu chi  theo Q.Định'!$F23,'9.1 TH thu,chi PABT+GPMB nhanh '!$B$10:$B$19987,'9.2 TH thu chi  theo Q.Định'!$B23)</f>
        <v>0</v>
      </c>
      <c r="L23" s="105">
        <f>SUMIFS('9.1 TH thu,chi PABT+GPMB nhanh '!M$10:M$19987,'9.1 TH thu,chi PABT+GPMB nhanh '!$D$10:$D$19987,'9.2 TH thu chi  theo Q.Định'!$C23,'9.1 TH thu,chi PABT+GPMB nhanh '!$E$10:$E$19987,'9.2 TH thu chi  theo Q.Định'!$D23,'9.1 TH thu,chi PABT+GPMB nhanh '!$F$10:$F$19987,'9.2 TH thu chi  theo Q.Định'!$E23,'9.1 TH thu,chi PABT+GPMB nhanh '!$G$10:$G$19987,'9.2 TH thu chi  theo Q.Định'!$F23,'9.1 TH thu,chi PABT+GPMB nhanh '!$B$10:$B$19987,'9.2 TH thu chi  theo Q.Định'!$B23)</f>
        <v>0</v>
      </c>
    </row>
    <row r="24" spans="1:12" x14ac:dyDescent="0.25">
      <c r="A24" s="88"/>
      <c r="B24" s="86"/>
      <c r="C24" s="86"/>
      <c r="D24" s="86"/>
      <c r="E24" s="86"/>
      <c r="F24" s="86"/>
      <c r="G24" s="105">
        <f>SUMIFS('9.1 TH thu,chi PABT+GPMB nhanh '!H$10:H$19987,'9.1 TH thu,chi PABT+GPMB nhanh '!$D$10:$D$19987,'9.2 TH thu chi  theo Q.Định'!$C24,'9.1 TH thu,chi PABT+GPMB nhanh '!$E$10:$E$19987,'9.2 TH thu chi  theo Q.Định'!$D24,'9.1 TH thu,chi PABT+GPMB nhanh '!$F$10:$F$19987,'9.2 TH thu chi  theo Q.Định'!$E24,'9.1 TH thu,chi PABT+GPMB nhanh '!$G$10:$G$19987,'9.2 TH thu chi  theo Q.Định'!$F24,'9.1 TH thu,chi PABT+GPMB nhanh '!$B$10:$B$19987,'9.2 TH thu chi  theo Q.Định'!$B24)</f>
        <v>0</v>
      </c>
      <c r="H24" s="105">
        <f>SUMIFS('9.1 TH thu,chi PABT+GPMB nhanh '!I$10:I$19987,'9.1 TH thu,chi PABT+GPMB nhanh '!$D$10:$D$19987,'9.2 TH thu chi  theo Q.Định'!$C24,'9.1 TH thu,chi PABT+GPMB nhanh '!$E$10:$E$19987,'9.2 TH thu chi  theo Q.Định'!$D24,'9.1 TH thu,chi PABT+GPMB nhanh '!$F$10:$F$19987,'9.2 TH thu chi  theo Q.Định'!$E24,'9.1 TH thu,chi PABT+GPMB nhanh '!$G$10:$G$19987,'9.2 TH thu chi  theo Q.Định'!$F24,'9.1 TH thu,chi PABT+GPMB nhanh '!$B$10:$B$19987,'9.2 TH thu chi  theo Q.Định'!$B24)</f>
        <v>0</v>
      </c>
      <c r="I24" s="105">
        <f>SUMIFS('9.1 TH thu,chi PABT+GPMB nhanh '!J$10:J$19987,'9.1 TH thu,chi PABT+GPMB nhanh '!$D$10:$D$19987,'9.2 TH thu chi  theo Q.Định'!$C24,'9.1 TH thu,chi PABT+GPMB nhanh '!$E$10:$E$19987,'9.2 TH thu chi  theo Q.Định'!$D24,'9.1 TH thu,chi PABT+GPMB nhanh '!$F$10:$F$19987,'9.2 TH thu chi  theo Q.Định'!$E24,'9.1 TH thu,chi PABT+GPMB nhanh '!$G$10:$G$19987,'9.2 TH thu chi  theo Q.Định'!$F24,'9.1 TH thu,chi PABT+GPMB nhanh '!$B$10:$B$19987,'9.2 TH thu chi  theo Q.Định'!$B24)</f>
        <v>0</v>
      </c>
      <c r="J24" s="105">
        <f>SUMIFS('9.1 TH thu,chi PABT+GPMB nhanh '!K$10:K$19987,'9.1 TH thu,chi PABT+GPMB nhanh '!$D$10:$D$19987,'9.2 TH thu chi  theo Q.Định'!$C24,'9.1 TH thu,chi PABT+GPMB nhanh '!$E$10:$E$19987,'9.2 TH thu chi  theo Q.Định'!$D24,'9.1 TH thu,chi PABT+GPMB nhanh '!$F$10:$F$19987,'9.2 TH thu chi  theo Q.Định'!$E24,'9.1 TH thu,chi PABT+GPMB nhanh '!$G$10:$G$19987,'9.2 TH thu chi  theo Q.Định'!$F24,'9.1 TH thu,chi PABT+GPMB nhanh '!$B$10:$B$19987,'9.2 TH thu chi  theo Q.Định'!$B24)</f>
        <v>0</v>
      </c>
      <c r="K24" s="105">
        <f>SUMIFS('9.1 TH thu,chi PABT+GPMB nhanh '!L$10:L$19987,'9.1 TH thu,chi PABT+GPMB nhanh '!$D$10:$D$19987,'9.2 TH thu chi  theo Q.Định'!$C24,'9.1 TH thu,chi PABT+GPMB nhanh '!$E$10:$E$19987,'9.2 TH thu chi  theo Q.Định'!$D24,'9.1 TH thu,chi PABT+GPMB nhanh '!$F$10:$F$19987,'9.2 TH thu chi  theo Q.Định'!$E24,'9.1 TH thu,chi PABT+GPMB nhanh '!$G$10:$G$19987,'9.2 TH thu chi  theo Q.Định'!$F24,'9.1 TH thu,chi PABT+GPMB nhanh '!$B$10:$B$19987,'9.2 TH thu chi  theo Q.Định'!$B24)</f>
        <v>0</v>
      </c>
      <c r="L24" s="105">
        <f>SUMIFS('9.1 TH thu,chi PABT+GPMB nhanh '!M$10:M$19987,'9.1 TH thu,chi PABT+GPMB nhanh '!$D$10:$D$19987,'9.2 TH thu chi  theo Q.Định'!$C24,'9.1 TH thu,chi PABT+GPMB nhanh '!$E$10:$E$19987,'9.2 TH thu chi  theo Q.Định'!$D24,'9.1 TH thu,chi PABT+GPMB nhanh '!$F$10:$F$19987,'9.2 TH thu chi  theo Q.Định'!$E24,'9.1 TH thu,chi PABT+GPMB nhanh '!$G$10:$G$19987,'9.2 TH thu chi  theo Q.Định'!$F24,'9.1 TH thu,chi PABT+GPMB nhanh '!$B$10:$B$19987,'9.2 TH thu chi  theo Q.Định'!$B24)</f>
        <v>0</v>
      </c>
    </row>
  </sheetData>
  <mergeCells count="7">
    <mergeCell ref="A1:E1"/>
    <mergeCell ref="A2:E2"/>
    <mergeCell ref="A4:L4"/>
    <mergeCell ref="A6:B6"/>
    <mergeCell ref="C6:F6"/>
    <mergeCell ref="G6:I6"/>
    <mergeCell ref="J6:L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6F64-3B50-42B8-BC8C-479478A487A1}">
  <sheetPr>
    <tabColor rgb="FF92D050"/>
  </sheetPr>
  <dimension ref="A1:L21"/>
  <sheetViews>
    <sheetView workbookViewId="0">
      <selection activeCell="I22" sqref="I22"/>
    </sheetView>
  </sheetViews>
  <sheetFormatPr defaultColWidth="8.85546875" defaultRowHeight="15" x14ac:dyDescent="0.25"/>
  <cols>
    <col min="1" max="1" width="5.28515625" style="87" customWidth="1"/>
    <col min="2" max="2" width="20.42578125" style="89" bestFit="1" customWidth="1"/>
    <col min="3" max="4" width="13" style="89" customWidth="1"/>
    <col min="5" max="5" width="15.85546875" style="89" customWidth="1"/>
    <col min="6" max="11" width="16.7109375" style="106" customWidth="1"/>
    <col min="12" max="16384" width="8.85546875" style="87"/>
  </cols>
  <sheetData>
    <row r="1" spans="1:12" ht="15.75" x14ac:dyDescent="0.25">
      <c r="A1" s="168" t="s">
        <v>9</v>
      </c>
      <c r="B1" s="168"/>
      <c r="C1" s="168"/>
      <c r="D1" s="168"/>
      <c r="E1" s="1"/>
      <c r="F1" s="44"/>
      <c r="G1" s="44"/>
      <c r="H1" s="112"/>
      <c r="I1" s="112"/>
      <c r="J1" s="112"/>
      <c r="K1" s="112"/>
    </row>
    <row r="2" spans="1:12" ht="15.75" x14ac:dyDescent="0.25">
      <c r="A2" s="168" t="s">
        <v>10</v>
      </c>
      <c r="B2" s="168"/>
      <c r="C2" s="168"/>
      <c r="D2" s="168"/>
      <c r="E2" s="1"/>
      <c r="F2" s="44"/>
      <c r="G2" s="44"/>
      <c r="H2" s="112"/>
      <c r="I2" s="112"/>
      <c r="J2" s="112"/>
      <c r="K2" s="112"/>
    </row>
    <row r="3" spans="1:12" ht="15.75" x14ac:dyDescent="0.25">
      <c r="A3" s="2"/>
      <c r="B3" s="1"/>
      <c r="C3" s="20"/>
      <c r="D3" s="21"/>
      <c r="E3" s="21"/>
      <c r="F3" s="45"/>
      <c r="G3" s="139"/>
      <c r="H3" s="140"/>
      <c r="I3" s="140"/>
      <c r="J3" s="140"/>
      <c r="K3" s="140"/>
    </row>
    <row r="4" spans="1:12" ht="15.6" customHeight="1" x14ac:dyDescent="0.25">
      <c r="A4" s="168" t="s">
        <v>252</v>
      </c>
      <c r="B4" s="168"/>
      <c r="C4" s="168"/>
      <c r="D4" s="168"/>
      <c r="E4" s="168"/>
      <c r="F4" s="168"/>
      <c r="G4" s="168"/>
      <c r="H4" s="168"/>
      <c r="I4" s="168"/>
      <c r="J4" s="168"/>
      <c r="K4" s="168"/>
      <c r="L4" s="49"/>
    </row>
    <row r="5" spans="1:12" x14ac:dyDescent="0.25">
      <c r="A5" s="16"/>
      <c r="B5" s="13"/>
      <c r="C5" s="13"/>
      <c r="D5" s="13"/>
      <c r="E5" s="13"/>
      <c r="F5" s="50"/>
      <c r="G5" s="50"/>
      <c r="H5" s="50"/>
      <c r="I5" s="50"/>
      <c r="J5" s="50"/>
      <c r="K5" s="50"/>
    </row>
    <row r="6" spans="1:12" ht="13.9" customHeight="1" x14ac:dyDescent="0.25">
      <c r="A6" s="174" t="s">
        <v>40</v>
      </c>
      <c r="B6" s="175"/>
      <c r="C6" s="175"/>
      <c r="D6" s="175"/>
      <c r="E6" s="183"/>
      <c r="F6" s="176" t="s">
        <v>249</v>
      </c>
      <c r="G6" s="176"/>
      <c r="H6" s="176"/>
      <c r="I6" s="176" t="s">
        <v>109</v>
      </c>
      <c r="J6" s="176"/>
      <c r="K6" s="176"/>
    </row>
    <row r="7" spans="1:12" ht="25.5" x14ac:dyDescent="0.25">
      <c r="A7" s="8" t="s">
        <v>0</v>
      </c>
      <c r="B7" s="4" t="s">
        <v>36</v>
      </c>
      <c r="C7" s="4" t="s">
        <v>133</v>
      </c>
      <c r="D7" s="5" t="s">
        <v>154</v>
      </c>
      <c r="E7" s="5" t="s">
        <v>82</v>
      </c>
      <c r="F7" s="104" t="s">
        <v>78</v>
      </c>
      <c r="G7" s="104" t="s">
        <v>79</v>
      </c>
      <c r="H7" s="104" t="s">
        <v>158</v>
      </c>
      <c r="I7" s="104" t="s">
        <v>78</v>
      </c>
      <c r="J7" s="104" t="s">
        <v>79</v>
      </c>
      <c r="K7" s="104" t="s">
        <v>158</v>
      </c>
    </row>
    <row r="8" spans="1:12" x14ac:dyDescent="0.25">
      <c r="A8" s="30"/>
      <c r="B8" s="118"/>
      <c r="C8" s="118"/>
      <c r="D8" s="99"/>
      <c r="E8" s="99"/>
      <c r="F8" s="38">
        <f>SUBTOTAL(9,F9:F19999)</f>
        <v>4200000000</v>
      </c>
      <c r="G8" s="38">
        <f t="shared" ref="G8:K8" si="0">SUBTOTAL(9,G9:G19999)</f>
        <v>100000000</v>
      </c>
      <c r="H8" s="38">
        <f t="shared" si="0"/>
        <v>4100000000</v>
      </c>
      <c r="I8" s="38">
        <f t="shared" si="0"/>
        <v>320000000</v>
      </c>
      <c r="J8" s="38">
        <f t="shared" si="0"/>
        <v>10000000</v>
      </c>
      <c r="K8" s="38">
        <f t="shared" si="0"/>
        <v>310000000</v>
      </c>
    </row>
    <row r="9" spans="1:12" x14ac:dyDescent="0.25">
      <c r="A9" s="88"/>
      <c r="B9" s="86" t="str" cm="1">
        <f t="array" ref="B9:E11">_xlfn.UNIQUE('9.1 TH thu,chi PABT+GPMB nhanh '!$D$10:$G$19987)</f>
        <v>Nguyễn Đức Anh</v>
      </c>
      <c r="C9" s="86" t="str">
        <v>Tiên Cát</v>
      </c>
      <c r="D9" s="86" t="str">
        <v>Minh Hà</v>
      </c>
      <c r="E9" s="86" t="str">
        <v>123A</v>
      </c>
      <c r="F9" s="105">
        <f>SUMIFS('9.1 TH thu,chi PABT+GPMB nhanh '!H$10:H$19987,'9.1 TH thu,chi PABT+GPMB nhanh '!$D$10:$D$19987,'9.3 TH thu chi theo tên'!$B9,'9.1 TH thu,chi PABT+GPMB nhanh '!$E$10:$E$19987,'9.3 TH thu chi theo tên'!$C9,'9.1 TH thu,chi PABT+GPMB nhanh '!$F$10:$F$19987,'9.3 TH thu chi theo tên'!$D9,'9.1 TH thu,chi PABT+GPMB nhanh '!$G$10:$G$19987,'9.3 TH thu chi theo tên'!$E9)</f>
        <v>4200000000</v>
      </c>
      <c r="G9" s="105">
        <f>SUMIFS('9.1 TH thu,chi PABT+GPMB nhanh '!I$10:I$19987,'9.1 TH thu,chi PABT+GPMB nhanh '!$D$10:$D$19987,'9.3 TH thu chi theo tên'!$B9,'9.1 TH thu,chi PABT+GPMB nhanh '!$E$10:$E$19987,'9.3 TH thu chi theo tên'!$C9,'9.1 TH thu,chi PABT+GPMB nhanh '!$F$10:$F$19987,'9.3 TH thu chi theo tên'!$D9,'9.1 TH thu,chi PABT+GPMB nhanh '!$G$10:$G$19987,'9.3 TH thu chi theo tên'!$E9)</f>
        <v>100000000</v>
      </c>
      <c r="H9" s="105">
        <f>SUMIFS('9.1 TH thu,chi PABT+GPMB nhanh '!J$10:J$19987,'9.1 TH thu,chi PABT+GPMB nhanh '!$D$10:$D$19987,'9.3 TH thu chi theo tên'!$B9,'9.1 TH thu,chi PABT+GPMB nhanh '!$E$10:$E$19987,'9.3 TH thu chi theo tên'!$C9,'9.1 TH thu,chi PABT+GPMB nhanh '!$F$10:$F$19987,'9.3 TH thu chi theo tên'!$D9,'9.1 TH thu,chi PABT+GPMB nhanh '!$G$10:$G$19987,'9.3 TH thu chi theo tên'!$E9)</f>
        <v>4100000000</v>
      </c>
      <c r="I9" s="105">
        <f>SUMIFS('9.1 TH thu,chi PABT+GPMB nhanh '!K$10:K$19987,'9.1 TH thu,chi PABT+GPMB nhanh '!$D$10:$D$19987,'9.3 TH thu chi theo tên'!$B9,'9.1 TH thu,chi PABT+GPMB nhanh '!$E$10:$E$19987,'9.3 TH thu chi theo tên'!$C9,'9.1 TH thu,chi PABT+GPMB nhanh '!$F$10:$F$19987,'9.3 TH thu chi theo tên'!$D9,'9.1 TH thu,chi PABT+GPMB nhanh '!$G$10:$G$19987,'9.3 TH thu chi theo tên'!$E9)</f>
        <v>320000000</v>
      </c>
      <c r="J9" s="105">
        <f>SUMIFS('9.1 TH thu,chi PABT+GPMB nhanh '!L$10:L$19987,'9.1 TH thu,chi PABT+GPMB nhanh '!$D$10:$D$19987,'9.3 TH thu chi theo tên'!$B9,'9.1 TH thu,chi PABT+GPMB nhanh '!$E$10:$E$19987,'9.3 TH thu chi theo tên'!$C9,'9.1 TH thu,chi PABT+GPMB nhanh '!$F$10:$F$19987,'9.3 TH thu chi theo tên'!$D9,'9.1 TH thu,chi PABT+GPMB nhanh '!$G$10:$G$19987,'9.3 TH thu chi theo tên'!$E9)</f>
        <v>10000000</v>
      </c>
      <c r="K9" s="105">
        <f>SUMIFS('9.1 TH thu,chi PABT+GPMB nhanh '!M$10:M$19987,'9.1 TH thu,chi PABT+GPMB nhanh '!$D$10:$D$19987,'9.3 TH thu chi theo tên'!$B9,'9.1 TH thu,chi PABT+GPMB nhanh '!$E$10:$E$19987,'9.3 TH thu chi theo tên'!$C9,'9.1 TH thu,chi PABT+GPMB nhanh '!$F$10:$F$19987,'9.3 TH thu chi theo tên'!$D9,'9.1 TH thu,chi PABT+GPMB nhanh '!$G$10:$G$19987,'9.3 TH thu chi theo tên'!$E9)</f>
        <v>310000000</v>
      </c>
    </row>
    <row r="10" spans="1:12" x14ac:dyDescent="0.25">
      <c r="A10" s="88"/>
      <c r="B10" s="86">
        <v>0</v>
      </c>
      <c r="C10" s="86">
        <v>0</v>
      </c>
      <c r="D10" s="86">
        <v>0</v>
      </c>
      <c r="E10" s="86">
        <v>0</v>
      </c>
      <c r="F10" s="105">
        <f>SUMIFS('9.1 TH thu,chi PABT+GPMB nhanh '!H$10:H$19987,'9.1 TH thu,chi PABT+GPMB nhanh '!$D$10:$D$19987,'9.3 TH thu chi theo tên'!$B10,'9.1 TH thu,chi PABT+GPMB nhanh '!$E$10:$E$19987,'9.3 TH thu chi theo tên'!$C10,'9.1 TH thu,chi PABT+GPMB nhanh '!$F$10:$F$19987,'9.3 TH thu chi theo tên'!$D10,'9.1 TH thu,chi PABT+GPMB nhanh '!$G$10:$G$19987,'9.3 TH thu chi theo tên'!$E10)</f>
        <v>0</v>
      </c>
      <c r="G10" s="105">
        <f>SUMIFS('9.1 TH thu,chi PABT+GPMB nhanh '!I$10:I$19987,'9.1 TH thu,chi PABT+GPMB nhanh '!$D$10:$D$19987,'9.3 TH thu chi theo tên'!$B10,'9.1 TH thu,chi PABT+GPMB nhanh '!$E$10:$E$19987,'9.3 TH thu chi theo tên'!$C10,'9.1 TH thu,chi PABT+GPMB nhanh '!$F$10:$F$19987,'9.3 TH thu chi theo tên'!$D10,'9.1 TH thu,chi PABT+GPMB nhanh '!$G$10:$G$19987,'9.3 TH thu chi theo tên'!$E10)</f>
        <v>0</v>
      </c>
      <c r="H10" s="105">
        <f>SUMIFS('9.1 TH thu,chi PABT+GPMB nhanh '!J$10:J$19987,'9.1 TH thu,chi PABT+GPMB nhanh '!$D$10:$D$19987,'9.3 TH thu chi theo tên'!$B10,'9.1 TH thu,chi PABT+GPMB nhanh '!$E$10:$E$19987,'9.3 TH thu chi theo tên'!$C10,'9.1 TH thu,chi PABT+GPMB nhanh '!$F$10:$F$19987,'9.3 TH thu chi theo tên'!$D10,'9.1 TH thu,chi PABT+GPMB nhanh '!$G$10:$G$19987,'9.3 TH thu chi theo tên'!$E10)</f>
        <v>0</v>
      </c>
      <c r="I10" s="105">
        <f>SUMIFS('9.1 TH thu,chi PABT+GPMB nhanh '!K$10:K$19987,'9.1 TH thu,chi PABT+GPMB nhanh '!$D$10:$D$19987,'9.3 TH thu chi theo tên'!$B10,'9.1 TH thu,chi PABT+GPMB nhanh '!$E$10:$E$19987,'9.3 TH thu chi theo tên'!$C10,'9.1 TH thu,chi PABT+GPMB nhanh '!$F$10:$F$19987,'9.3 TH thu chi theo tên'!$D10,'9.1 TH thu,chi PABT+GPMB nhanh '!$G$10:$G$19987,'9.3 TH thu chi theo tên'!$E10)</f>
        <v>0</v>
      </c>
      <c r="J10" s="105">
        <f>SUMIFS('9.1 TH thu,chi PABT+GPMB nhanh '!L$10:L$19987,'9.1 TH thu,chi PABT+GPMB nhanh '!$D$10:$D$19987,'9.3 TH thu chi theo tên'!$B10,'9.1 TH thu,chi PABT+GPMB nhanh '!$E$10:$E$19987,'9.3 TH thu chi theo tên'!$C10,'9.1 TH thu,chi PABT+GPMB nhanh '!$F$10:$F$19987,'9.3 TH thu chi theo tên'!$D10,'9.1 TH thu,chi PABT+GPMB nhanh '!$G$10:$G$19987,'9.3 TH thu chi theo tên'!$E10)</f>
        <v>0</v>
      </c>
      <c r="K10" s="105">
        <f>SUMIFS('9.1 TH thu,chi PABT+GPMB nhanh '!M$10:M$19987,'9.1 TH thu,chi PABT+GPMB nhanh '!$D$10:$D$19987,'9.3 TH thu chi theo tên'!$B10,'9.1 TH thu,chi PABT+GPMB nhanh '!$E$10:$E$19987,'9.3 TH thu chi theo tên'!$C10,'9.1 TH thu,chi PABT+GPMB nhanh '!$F$10:$F$19987,'9.3 TH thu chi theo tên'!$D10,'9.1 TH thu,chi PABT+GPMB nhanh '!$G$10:$G$19987,'9.3 TH thu chi theo tên'!$E10)</f>
        <v>0</v>
      </c>
    </row>
    <row r="11" spans="1:12" x14ac:dyDescent="0.25">
      <c r="A11" s="88"/>
      <c r="B11" s="86">
        <v>0</v>
      </c>
      <c r="C11" s="86">
        <v>0</v>
      </c>
      <c r="D11" s="86">
        <v>0</v>
      </c>
      <c r="E11" s="86">
        <v>0</v>
      </c>
      <c r="F11" s="105">
        <f>SUMIFS('9.1 TH thu,chi PABT+GPMB nhanh '!H$10:H$19987,'9.1 TH thu,chi PABT+GPMB nhanh '!$D$10:$D$19987,'9.3 TH thu chi theo tên'!$B11,'9.1 TH thu,chi PABT+GPMB nhanh '!$E$10:$E$19987,'9.3 TH thu chi theo tên'!$C11,'9.1 TH thu,chi PABT+GPMB nhanh '!$F$10:$F$19987,'9.3 TH thu chi theo tên'!$D11,'9.1 TH thu,chi PABT+GPMB nhanh '!$G$10:$G$19987,'9.3 TH thu chi theo tên'!$E11)</f>
        <v>0</v>
      </c>
      <c r="G11" s="105">
        <f>SUMIFS('9.1 TH thu,chi PABT+GPMB nhanh '!I$10:I$19987,'9.1 TH thu,chi PABT+GPMB nhanh '!$D$10:$D$19987,'9.3 TH thu chi theo tên'!$B11,'9.1 TH thu,chi PABT+GPMB nhanh '!$E$10:$E$19987,'9.3 TH thu chi theo tên'!$C11,'9.1 TH thu,chi PABT+GPMB nhanh '!$F$10:$F$19987,'9.3 TH thu chi theo tên'!$D11,'9.1 TH thu,chi PABT+GPMB nhanh '!$G$10:$G$19987,'9.3 TH thu chi theo tên'!$E11)</f>
        <v>0</v>
      </c>
      <c r="H11" s="105">
        <f>SUMIFS('9.1 TH thu,chi PABT+GPMB nhanh '!J$10:J$19987,'9.1 TH thu,chi PABT+GPMB nhanh '!$D$10:$D$19987,'9.3 TH thu chi theo tên'!$B11,'9.1 TH thu,chi PABT+GPMB nhanh '!$E$10:$E$19987,'9.3 TH thu chi theo tên'!$C11,'9.1 TH thu,chi PABT+GPMB nhanh '!$F$10:$F$19987,'9.3 TH thu chi theo tên'!$D11,'9.1 TH thu,chi PABT+GPMB nhanh '!$G$10:$G$19987,'9.3 TH thu chi theo tên'!$E11)</f>
        <v>0</v>
      </c>
      <c r="I11" s="105">
        <f>SUMIFS('9.1 TH thu,chi PABT+GPMB nhanh '!K$10:K$19987,'9.1 TH thu,chi PABT+GPMB nhanh '!$D$10:$D$19987,'9.3 TH thu chi theo tên'!$B11,'9.1 TH thu,chi PABT+GPMB nhanh '!$E$10:$E$19987,'9.3 TH thu chi theo tên'!$C11,'9.1 TH thu,chi PABT+GPMB nhanh '!$F$10:$F$19987,'9.3 TH thu chi theo tên'!$D11,'9.1 TH thu,chi PABT+GPMB nhanh '!$G$10:$G$19987,'9.3 TH thu chi theo tên'!$E11)</f>
        <v>0</v>
      </c>
      <c r="J11" s="105">
        <f>SUMIFS('9.1 TH thu,chi PABT+GPMB nhanh '!L$10:L$19987,'9.1 TH thu,chi PABT+GPMB nhanh '!$D$10:$D$19987,'9.3 TH thu chi theo tên'!$B11,'9.1 TH thu,chi PABT+GPMB nhanh '!$E$10:$E$19987,'9.3 TH thu chi theo tên'!$C11,'9.1 TH thu,chi PABT+GPMB nhanh '!$F$10:$F$19987,'9.3 TH thu chi theo tên'!$D11,'9.1 TH thu,chi PABT+GPMB nhanh '!$G$10:$G$19987,'9.3 TH thu chi theo tên'!$E11)</f>
        <v>0</v>
      </c>
      <c r="K11" s="105">
        <f>SUMIFS('9.1 TH thu,chi PABT+GPMB nhanh '!M$10:M$19987,'9.1 TH thu,chi PABT+GPMB nhanh '!$D$10:$D$19987,'9.3 TH thu chi theo tên'!$B11,'9.1 TH thu,chi PABT+GPMB nhanh '!$E$10:$E$19987,'9.3 TH thu chi theo tên'!$C11,'9.1 TH thu,chi PABT+GPMB nhanh '!$F$10:$F$19987,'9.3 TH thu chi theo tên'!$D11,'9.1 TH thu,chi PABT+GPMB nhanh '!$G$10:$G$19987,'9.3 TH thu chi theo tên'!$E11)</f>
        <v>0</v>
      </c>
    </row>
    <row r="12" spans="1:12" x14ac:dyDescent="0.25">
      <c r="A12" s="88"/>
      <c r="B12" s="86"/>
      <c r="C12" s="86"/>
      <c r="D12" s="86"/>
      <c r="E12" s="86"/>
      <c r="F12" s="105">
        <f>SUMIFS('9.1 TH thu,chi PABT+GPMB nhanh '!H$10:H$19987,'9.1 TH thu,chi PABT+GPMB nhanh '!$D$10:$D$19987,'9.3 TH thu chi theo tên'!$B12,'9.1 TH thu,chi PABT+GPMB nhanh '!$E$10:$E$19987,'9.3 TH thu chi theo tên'!$C12,'9.1 TH thu,chi PABT+GPMB nhanh '!$F$10:$F$19987,'9.3 TH thu chi theo tên'!$D12,'9.1 TH thu,chi PABT+GPMB nhanh '!$G$10:$G$19987,'9.3 TH thu chi theo tên'!$E12)</f>
        <v>0</v>
      </c>
      <c r="G12" s="105">
        <f>SUMIFS('9.1 TH thu,chi PABT+GPMB nhanh '!I$10:I$19987,'9.1 TH thu,chi PABT+GPMB nhanh '!$D$10:$D$19987,'9.3 TH thu chi theo tên'!$B12,'9.1 TH thu,chi PABT+GPMB nhanh '!$E$10:$E$19987,'9.3 TH thu chi theo tên'!$C12,'9.1 TH thu,chi PABT+GPMB nhanh '!$F$10:$F$19987,'9.3 TH thu chi theo tên'!$D12,'9.1 TH thu,chi PABT+GPMB nhanh '!$G$10:$G$19987,'9.3 TH thu chi theo tên'!$E12)</f>
        <v>0</v>
      </c>
      <c r="H12" s="105">
        <f>SUMIFS('9.1 TH thu,chi PABT+GPMB nhanh '!J$10:J$19987,'9.1 TH thu,chi PABT+GPMB nhanh '!$D$10:$D$19987,'9.3 TH thu chi theo tên'!$B12,'9.1 TH thu,chi PABT+GPMB nhanh '!$E$10:$E$19987,'9.3 TH thu chi theo tên'!$C12,'9.1 TH thu,chi PABT+GPMB nhanh '!$F$10:$F$19987,'9.3 TH thu chi theo tên'!$D12,'9.1 TH thu,chi PABT+GPMB nhanh '!$G$10:$G$19987,'9.3 TH thu chi theo tên'!$E12)</f>
        <v>0</v>
      </c>
      <c r="I12" s="105">
        <f>SUMIFS('9.1 TH thu,chi PABT+GPMB nhanh '!K$10:K$19987,'9.1 TH thu,chi PABT+GPMB nhanh '!$D$10:$D$19987,'9.3 TH thu chi theo tên'!$B12,'9.1 TH thu,chi PABT+GPMB nhanh '!$E$10:$E$19987,'9.3 TH thu chi theo tên'!$C12,'9.1 TH thu,chi PABT+GPMB nhanh '!$F$10:$F$19987,'9.3 TH thu chi theo tên'!$D12,'9.1 TH thu,chi PABT+GPMB nhanh '!$G$10:$G$19987,'9.3 TH thu chi theo tên'!$E12)</f>
        <v>0</v>
      </c>
      <c r="J12" s="105">
        <f>SUMIFS('9.1 TH thu,chi PABT+GPMB nhanh '!L$10:L$19987,'9.1 TH thu,chi PABT+GPMB nhanh '!$D$10:$D$19987,'9.3 TH thu chi theo tên'!$B12,'9.1 TH thu,chi PABT+GPMB nhanh '!$E$10:$E$19987,'9.3 TH thu chi theo tên'!$C12,'9.1 TH thu,chi PABT+GPMB nhanh '!$F$10:$F$19987,'9.3 TH thu chi theo tên'!$D12,'9.1 TH thu,chi PABT+GPMB nhanh '!$G$10:$G$19987,'9.3 TH thu chi theo tên'!$E12)</f>
        <v>0</v>
      </c>
      <c r="K12" s="105">
        <f>SUMIFS('9.1 TH thu,chi PABT+GPMB nhanh '!M$10:M$19987,'9.1 TH thu,chi PABT+GPMB nhanh '!$D$10:$D$19987,'9.3 TH thu chi theo tên'!$B12,'9.1 TH thu,chi PABT+GPMB nhanh '!$E$10:$E$19987,'9.3 TH thu chi theo tên'!$C12,'9.1 TH thu,chi PABT+GPMB nhanh '!$F$10:$F$19987,'9.3 TH thu chi theo tên'!$D12,'9.1 TH thu,chi PABT+GPMB nhanh '!$G$10:$G$19987,'9.3 TH thu chi theo tên'!$E12)</f>
        <v>0</v>
      </c>
    </row>
    <row r="13" spans="1:12" x14ac:dyDescent="0.25">
      <c r="A13" s="88"/>
      <c r="B13" s="86"/>
      <c r="C13" s="86"/>
      <c r="D13" s="86"/>
      <c r="E13" s="86"/>
      <c r="F13" s="105">
        <f>SUMIFS('9.1 TH thu,chi PABT+GPMB nhanh '!H$10:H$19987,'9.1 TH thu,chi PABT+GPMB nhanh '!$D$10:$D$19987,'9.3 TH thu chi theo tên'!$B13,'9.1 TH thu,chi PABT+GPMB nhanh '!$E$10:$E$19987,'9.3 TH thu chi theo tên'!$C13,'9.1 TH thu,chi PABT+GPMB nhanh '!$F$10:$F$19987,'9.3 TH thu chi theo tên'!$D13,'9.1 TH thu,chi PABT+GPMB nhanh '!$G$10:$G$19987,'9.3 TH thu chi theo tên'!$E13)</f>
        <v>0</v>
      </c>
      <c r="G13" s="105">
        <f>SUMIFS('9.1 TH thu,chi PABT+GPMB nhanh '!I$10:I$19987,'9.1 TH thu,chi PABT+GPMB nhanh '!$D$10:$D$19987,'9.3 TH thu chi theo tên'!$B13,'9.1 TH thu,chi PABT+GPMB nhanh '!$E$10:$E$19987,'9.3 TH thu chi theo tên'!$C13,'9.1 TH thu,chi PABT+GPMB nhanh '!$F$10:$F$19987,'9.3 TH thu chi theo tên'!$D13,'9.1 TH thu,chi PABT+GPMB nhanh '!$G$10:$G$19987,'9.3 TH thu chi theo tên'!$E13)</f>
        <v>0</v>
      </c>
      <c r="H13" s="105">
        <f>SUMIFS('9.1 TH thu,chi PABT+GPMB nhanh '!J$10:J$19987,'9.1 TH thu,chi PABT+GPMB nhanh '!$D$10:$D$19987,'9.3 TH thu chi theo tên'!$B13,'9.1 TH thu,chi PABT+GPMB nhanh '!$E$10:$E$19987,'9.3 TH thu chi theo tên'!$C13,'9.1 TH thu,chi PABT+GPMB nhanh '!$F$10:$F$19987,'9.3 TH thu chi theo tên'!$D13,'9.1 TH thu,chi PABT+GPMB nhanh '!$G$10:$G$19987,'9.3 TH thu chi theo tên'!$E13)</f>
        <v>0</v>
      </c>
      <c r="I13" s="105">
        <f>SUMIFS('9.1 TH thu,chi PABT+GPMB nhanh '!K$10:K$19987,'9.1 TH thu,chi PABT+GPMB nhanh '!$D$10:$D$19987,'9.3 TH thu chi theo tên'!$B13,'9.1 TH thu,chi PABT+GPMB nhanh '!$E$10:$E$19987,'9.3 TH thu chi theo tên'!$C13,'9.1 TH thu,chi PABT+GPMB nhanh '!$F$10:$F$19987,'9.3 TH thu chi theo tên'!$D13,'9.1 TH thu,chi PABT+GPMB nhanh '!$G$10:$G$19987,'9.3 TH thu chi theo tên'!$E13)</f>
        <v>0</v>
      </c>
      <c r="J13" s="105">
        <f>SUMIFS('9.1 TH thu,chi PABT+GPMB nhanh '!L$10:L$19987,'9.1 TH thu,chi PABT+GPMB nhanh '!$D$10:$D$19987,'9.3 TH thu chi theo tên'!$B13,'9.1 TH thu,chi PABT+GPMB nhanh '!$E$10:$E$19987,'9.3 TH thu chi theo tên'!$C13,'9.1 TH thu,chi PABT+GPMB nhanh '!$F$10:$F$19987,'9.3 TH thu chi theo tên'!$D13,'9.1 TH thu,chi PABT+GPMB nhanh '!$G$10:$G$19987,'9.3 TH thu chi theo tên'!$E13)</f>
        <v>0</v>
      </c>
      <c r="K13" s="105">
        <f>SUMIFS('9.1 TH thu,chi PABT+GPMB nhanh '!M$10:M$19987,'9.1 TH thu,chi PABT+GPMB nhanh '!$D$10:$D$19987,'9.3 TH thu chi theo tên'!$B13,'9.1 TH thu,chi PABT+GPMB nhanh '!$E$10:$E$19987,'9.3 TH thu chi theo tên'!$C13,'9.1 TH thu,chi PABT+GPMB nhanh '!$F$10:$F$19987,'9.3 TH thu chi theo tên'!$D13,'9.1 TH thu,chi PABT+GPMB nhanh '!$G$10:$G$19987,'9.3 TH thu chi theo tên'!$E13)</f>
        <v>0</v>
      </c>
    </row>
    <row r="14" spans="1:12" x14ac:dyDescent="0.25">
      <c r="A14" s="88"/>
      <c r="B14" s="86"/>
      <c r="C14" s="86"/>
      <c r="D14" s="86"/>
      <c r="E14" s="86"/>
      <c r="F14" s="105">
        <f>SUMIFS('9.1 TH thu,chi PABT+GPMB nhanh '!H$10:H$19987,'9.1 TH thu,chi PABT+GPMB nhanh '!$D$10:$D$19987,'9.3 TH thu chi theo tên'!$B14,'9.1 TH thu,chi PABT+GPMB nhanh '!$E$10:$E$19987,'9.3 TH thu chi theo tên'!$C14,'9.1 TH thu,chi PABT+GPMB nhanh '!$F$10:$F$19987,'9.3 TH thu chi theo tên'!$D14,'9.1 TH thu,chi PABT+GPMB nhanh '!$G$10:$G$19987,'9.3 TH thu chi theo tên'!$E14)</f>
        <v>0</v>
      </c>
      <c r="G14" s="105">
        <f>SUMIFS('9.1 TH thu,chi PABT+GPMB nhanh '!I$10:I$19987,'9.1 TH thu,chi PABT+GPMB nhanh '!$D$10:$D$19987,'9.3 TH thu chi theo tên'!$B14,'9.1 TH thu,chi PABT+GPMB nhanh '!$E$10:$E$19987,'9.3 TH thu chi theo tên'!$C14,'9.1 TH thu,chi PABT+GPMB nhanh '!$F$10:$F$19987,'9.3 TH thu chi theo tên'!$D14,'9.1 TH thu,chi PABT+GPMB nhanh '!$G$10:$G$19987,'9.3 TH thu chi theo tên'!$E14)</f>
        <v>0</v>
      </c>
      <c r="H14" s="105">
        <f>SUMIFS('9.1 TH thu,chi PABT+GPMB nhanh '!J$10:J$19987,'9.1 TH thu,chi PABT+GPMB nhanh '!$D$10:$D$19987,'9.3 TH thu chi theo tên'!$B14,'9.1 TH thu,chi PABT+GPMB nhanh '!$E$10:$E$19987,'9.3 TH thu chi theo tên'!$C14,'9.1 TH thu,chi PABT+GPMB nhanh '!$F$10:$F$19987,'9.3 TH thu chi theo tên'!$D14,'9.1 TH thu,chi PABT+GPMB nhanh '!$G$10:$G$19987,'9.3 TH thu chi theo tên'!$E14)</f>
        <v>0</v>
      </c>
      <c r="I14" s="105">
        <f>SUMIFS('9.1 TH thu,chi PABT+GPMB nhanh '!K$10:K$19987,'9.1 TH thu,chi PABT+GPMB nhanh '!$D$10:$D$19987,'9.3 TH thu chi theo tên'!$B14,'9.1 TH thu,chi PABT+GPMB nhanh '!$E$10:$E$19987,'9.3 TH thu chi theo tên'!$C14,'9.1 TH thu,chi PABT+GPMB nhanh '!$F$10:$F$19987,'9.3 TH thu chi theo tên'!$D14,'9.1 TH thu,chi PABT+GPMB nhanh '!$G$10:$G$19987,'9.3 TH thu chi theo tên'!$E14)</f>
        <v>0</v>
      </c>
      <c r="J14" s="105">
        <f>SUMIFS('9.1 TH thu,chi PABT+GPMB nhanh '!L$10:L$19987,'9.1 TH thu,chi PABT+GPMB nhanh '!$D$10:$D$19987,'9.3 TH thu chi theo tên'!$B14,'9.1 TH thu,chi PABT+GPMB nhanh '!$E$10:$E$19987,'9.3 TH thu chi theo tên'!$C14,'9.1 TH thu,chi PABT+GPMB nhanh '!$F$10:$F$19987,'9.3 TH thu chi theo tên'!$D14,'9.1 TH thu,chi PABT+GPMB nhanh '!$G$10:$G$19987,'9.3 TH thu chi theo tên'!$E14)</f>
        <v>0</v>
      </c>
      <c r="K14" s="105">
        <f>SUMIFS('9.1 TH thu,chi PABT+GPMB nhanh '!M$10:M$19987,'9.1 TH thu,chi PABT+GPMB nhanh '!$D$10:$D$19987,'9.3 TH thu chi theo tên'!$B14,'9.1 TH thu,chi PABT+GPMB nhanh '!$E$10:$E$19987,'9.3 TH thu chi theo tên'!$C14,'9.1 TH thu,chi PABT+GPMB nhanh '!$F$10:$F$19987,'9.3 TH thu chi theo tên'!$D14,'9.1 TH thu,chi PABT+GPMB nhanh '!$G$10:$G$19987,'9.3 TH thu chi theo tên'!$E14)</f>
        <v>0</v>
      </c>
    </row>
    <row r="15" spans="1:12" x14ac:dyDescent="0.25">
      <c r="A15" s="88"/>
      <c r="B15" s="86"/>
      <c r="C15" s="86"/>
      <c r="D15" s="86"/>
      <c r="E15" s="86"/>
      <c r="F15" s="105">
        <f>SUMIFS('9.1 TH thu,chi PABT+GPMB nhanh '!H$10:H$19987,'9.1 TH thu,chi PABT+GPMB nhanh '!$D$10:$D$19987,'9.3 TH thu chi theo tên'!$B15,'9.1 TH thu,chi PABT+GPMB nhanh '!$E$10:$E$19987,'9.3 TH thu chi theo tên'!$C15,'9.1 TH thu,chi PABT+GPMB nhanh '!$F$10:$F$19987,'9.3 TH thu chi theo tên'!$D15,'9.1 TH thu,chi PABT+GPMB nhanh '!$G$10:$G$19987,'9.3 TH thu chi theo tên'!$E15)</f>
        <v>0</v>
      </c>
      <c r="G15" s="105">
        <f>SUMIFS('9.1 TH thu,chi PABT+GPMB nhanh '!I$10:I$19987,'9.1 TH thu,chi PABT+GPMB nhanh '!$D$10:$D$19987,'9.3 TH thu chi theo tên'!$B15,'9.1 TH thu,chi PABT+GPMB nhanh '!$E$10:$E$19987,'9.3 TH thu chi theo tên'!$C15,'9.1 TH thu,chi PABT+GPMB nhanh '!$F$10:$F$19987,'9.3 TH thu chi theo tên'!$D15,'9.1 TH thu,chi PABT+GPMB nhanh '!$G$10:$G$19987,'9.3 TH thu chi theo tên'!$E15)</f>
        <v>0</v>
      </c>
      <c r="H15" s="105">
        <f>SUMIFS('9.1 TH thu,chi PABT+GPMB nhanh '!J$10:J$19987,'9.1 TH thu,chi PABT+GPMB nhanh '!$D$10:$D$19987,'9.3 TH thu chi theo tên'!$B15,'9.1 TH thu,chi PABT+GPMB nhanh '!$E$10:$E$19987,'9.3 TH thu chi theo tên'!$C15,'9.1 TH thu,chi PABT+GPMB nhanh '!$F$10:$F$19987,'9.3 TH thu chi theo tên'!$D15,'9.1 TH thu,chi PABT+GPMB nhanh '!$G$10:$G$19987,'9.3 TH thu chi theo tên'!$E15)</f>
        <v>0</v>
      </c>
      <c r="I15" s="105">
        <f>SUMIFS('9.1 TH thu,chi PABT+GPMB nhanh '!K$10:K$19987,'9.1 TH thu,chi PABT+GPMB nhanh '!$D$10:$D$19987,'9.3 TH thu chi theo tên'!$B15,'9.1 TH thu,chi PABT+GPMB nhanh '!$E$10:$E$19987,'9.3 TH thu chi theo tên'!$C15,'9.1 TH thu,chi PABT+GPMB nhanh '!$F$10:$F$19987,'9.3 TH thu chi theo tên'!$D15,'9.1 TH thu,chi PABT+GPMB nhanh '!$G$10:$G$19987,'9.3 TH thu chi theo tên'!$E15)</f>
        <v>0</v>
      </c>
      <c r="J15" s="105">
        <f>SUMIFS('9.1 TH thu,chi PABT+GPMB nhanh '!L$10:L$19987,'9.1 TH thu,chi PABT+GPMB nhanh '!$D$10:$D$19987,'9.3 TH thu chi theo tên'!$B15,'9.1 TH thu,chi PABT+GPMB nhanh '!$E$10:$E$19987,'9.3 TH thu chi theo tên'!$C15,'9.1 TH thu,chi PABT+GPMB nhanh '!$F$10:$F$19987,'9.3 TH thu chi theo tên'!$D15,'9.1 TH thu,chi PABT+GPMB nhanh '!$G$10:$G$19987,'9.3 TH thu chi theo tên'!$E15)</f>
        <v>0</v>
      </c>
      <c r="K15" s="105">
        <f>SUMIFS('9.1 TH thu,chi PABT+GPMB nhanh '!M$10:M$19987,'9.1 TH thu,chi PABT+GPMB nhanh '!$D$10:$D$19987,'9.3 TH thu chi theo tên'!$B15,'9.1 TH thu,chi PABT+GPMB nhanh '!$E$10:$E$19987,'9.3 TH thu chi theo tên'!$C15,'9.1 TH thu,chi PABT+GPMB nhanh '!$F$10:$F$19987,'9.3 TH thu chi theo tên'!$D15,'9.1 TH thu,chi PABT+GPMB nhanh '!$G$10:$G$19987,'9.3 TH thu chi theo tên'!$E15)</f>
        <v>0</v>
      </c>
    </row>
    <row r="16" spans="1:12" x14ac:dyDescent="0.25">
      <c r="A16" s="88"/>
      <c r="B16" s="86"/>
      <c r="C16" s="86"/>
      <c r="D16" s="86"/>
      <c r="E16" s="86"/>
      <c r="F16" s="105">
        <f>SUMIFS('9.1 TH thu,chi PABT+GPMB nhanh '!H$10:H$19987,'9.1 TH thu,chi PABT+GPMB nhanh '!$D$10:$D$19987,'9.3 TH thu chi theo tên'!$B16,'9.1 TH thu,chi PABT+GPMB nhanh '!$E$10:$E$19987,'9.3 TH thu chi theo tên'!$C16,'9.1 TH thu,chi PABT+GPMB nhanh '!$F$10:$F$19987,'9.3 TH thu chi theo tên'!$D16,'9.1 TH thu,chi PABT+GPMB nhanh '!$G$10:$G$19987,'9.3 TH thu chi theo tên'!$E16)</f>
        <v>0</v>
      </c>
      <c r="G16" s="105">
        <f>SUMIFS('9.1 TH thu,chi PABT+GPMB nhanh '!I$10:I$19987,'9.1 TH thu,chi PABT+GPMB nhanh '!$D$10:$D$19987,'9.3 TH thu chi theo tên'!$B16,'9.1 TH thu,chi PABT+GPMB nhanh '!$E$10:$E$19987,'9.3 TH thu chi theo tên'!$C16,'9.1 TH thu,chi PABT+GPMB nhanh '!$F$10:$F$19987,'9.3 TH thu chi theo tên'!$D16,'9.1 TH thu,chi PABT+GPMB nhanh '!$G$10:$G$19987,'9.3 TH thu chi theo tên'!$E16)</f>
        <v>0</v>
      </c>
      <c r="H16" s="105">
        <f>SUMIFS('9.1 TH thu,chi PABT+GPMB nhanh '!J$10:J$19987,'9.1 TH thu,chi PABT+GPMB nhanh '!$D$10:$D$19987,'9.3 TH thu chi theo tên'!$B16,'9.1 TH thu,chi PABT+GPMB nhanh '!$E$10:$E$19987,'9.3 TH thu chi theo tên'!$C16,'9.1 TH thu,chi PABT+GPMB nhanh '!$F$10:$F$19987,'9.3 TH thu chi theo tên'!$D16,'9.1 TH thu,chi PABT+GPMB nhanh '!$G$10:$G$19987,'9.3 TH thu chi theo tên'!$E16)</f>
        <v>0</v>
      </c>
      <c r="I16" s="105">
        <f>SUMIFS('9.1 TH thu,chi PABT+GPMB nhanh '!K$10:K$19987,'9.1 TH thu,chi PABT+GPMB nhanh '!$D$10:$D$19987,'9.3 TH thu chi theo tên'!$B16,'9.1 TH thu,chi PABT+GPMB nhanh '!$E$10:$E$19987,'9.3 TH thu chi theo tên'!$C16,'9.1 TH thu,chi PABT+GPMB nhanh '!$F$10:$F$19987,'9.3 TH thu chi theo tên'!$D16,'9.1 TH thu,chi PABT+GPMB nhanh '!$G$10:$G$19987,'9.3 TH thu chi theo tên'!$E16)</f>
        <v>0</v>
      </c>
      <c r="J16" s="105">
        <f>SUMIFS('9.1 TH thu,chi PABT+GPMB nhanh '!L$10:L$19987,'9.1 TH thu,chi PABT+GPMB nhanh '!$D$10:$D$19987,'9.3 TH thu chi theo tên'!$B16,'9.1 TH thu,chi PABT+GPMB nhanh '!$E$10:$E$19987,'9.3 TH thu chi theo tên'!$C16,'9.1 TH thu,chi PABT+GPMB nhanh '!$F$10:$F$19987,'9.3 TH thu chi theo tên'!$D16,'9.1 TH thu,chi PABT+GPMB nhanh '!$G$10:$G$19987,'9.3 TH thu chi theo tên'!$E16)</f>
        <v>0</v>
      </c>
      <c r="K16" s="105">
        <f>SUMIFS('9.1 TH thu,chi PABT+GPMB nhanh '!M$10:M$19987,'9.1 TH thu,chi PABT+GPMB nhanh '!$D$10:$D$19987,'9.3 TH thu chi theo tên'!$B16,'9.1 TH thu,chi PABT+GPMB nhanh '!$E$10:$E$19987,'9.3 TH thu chi theo tên'!$C16,'9.1 TH thu,chi PABT+GPMB nhanh '!$F$10:$F$19987,'9.3 TH thu chi theo tên'!$D16,'9.1 TH thu,chi PABT+GPMB nhanh '!$G$10:$G$19987,'9.3 TH thu chi theo tên'!$E16)</f>
        <v>0</v>
      </c>
    </row>
    <row r="17" spans="1:11" x14ac:dyDescent="0.25">
      <c r="A17" s="88"/>
      <c r="B17" s="86"/>
      <c r="C17" s="86"/>
      <c r="D17" s="86"/>
      <c r="E17" s="86"/>
      <c r="F17" s="105">
        <f>SUMIFS('9.1 TH thu,chi PABT+GPMB nhanh '!H$10:H$19987,'9.1 TH thu,chi PABT+GPMB nhanh '!$D$10:$D$19987,'9.3 TH thu chi theo tên'!$B17,'9.1 TH thu,chi PABT+GPMB nhanh '!$E$10:$E$19987,'9.3 TH thu chi theo tên'!$C17,'9.1 TH thu,chi PABT+GPMB nhanh '!$F$10:$F$19987,'9.3 TH thu chi theo tên'!$D17,'9.1 TH thu,chi PABT+GPMB nhanh '!$G$10:$G$19987,'9.3 TH thu chi theo tên'!$E17)</f>
        <v>0</v>
      </c>
      <c r="G17" s="105">
        <f>SUMIFS('9.1 TH thu,chi PABT+GPMB nhanh '!I$10:I$19987,'9.1 TH thu,chi PABT+GPMB nhanh '!$D$10:$D$19987,'9.3 TH thu chi theo tên'!$B17,'9.1 TH thu,chi PABT+GPMB nhanh '!$E$10:$E$19987,'9.3 TH thu chi theo tên'!$C17,'9.1 TH thu,chi PABT+GPMB nhanh '!$F$10:$F$19987,'9.3 TH thu chi theo tên'!$D17,'9.1 TH thu,chi PABT+GPMB nhanh '!$G$10:$G$19987,'9.3 TH thu chi theo tên'!$E17)</f>
        <v>0</v>
      </c>
      <c r="H17" s="105">
        <f>SUMIFS('9.1 TH thu,chi PABT+GPMB nhanh '!J$10:J$19987,'9.1 TH thu,chi PABT+GPMB nhanh '!$D$10:$D$19987,'9.3 TH thu chi theo tên'!$B17,'9.1 TH thu,chi PABT+GPMB nhanh '!$E$10:$E$19987,'9.3 TH thu chi theo tên'!$C17,'9.1 TH thu,chi PABT+GPMB nhanh '!$F$10:$F$19987,'9.3 TH thu chi theo tên'!$D17,'9.1 TH thu,chi PABT+GPMB nhanh '!$G$10:$G$19987,'9.3 TH thu chi theo tên'!$E17)</f>
        <v>0</v>
      </c>
      <c r="I17" s="105">
        <f>SUMIFS('9.1 TH thu,chi PABT+GPMB nhanh '!K$10:K$19987,'9.1 TH thu,chi PABT+GPMB nhanh '!$D$10:$D$19987,'9.3 TH thu chi theo tên'!$B17,'9.1 TH thu,chi PABT+GPMB nhanh '!$E$10:$E$19987,'9.3 TH thu chi theo tên'!$C17,'9.1 TH thu,chi PABT+GPMB nhanh '!$F$10:$F$19987,'9.3 TH thu chi theo tên'!$D17,'9.1 TH thu,chi PABT+GPMB nhanh '!$G$10:$G$19987,'9.3 TH thu chi theo tên'!$E17)</f>
        <v>0</v>
      </c>
      <c r="J17" s="105">
        <f>SUMIFS('9.1 TH thu,chi PABT+GPMB nhanh '!L$10:L$19987,'9.1 TH thu,chi PABT+GPMB nhanh '!$D$10:$D$19987,'9.3 TH thu chi theo tên'!$B17,'9.1 TH thu,chi PABT+GPMB nhanh '!$E$10:$E$19987,'9.3 TH thu chi theo tên'!$C17,'9.1 TH thu,chi PABT+GPMB nhanh '!$F$10:$F$19987,'9.3 TH thu chi theo tên'!$D17,'9.1 TH thu,chi PABT+GPMB nhanh '!$G$10:$G$19987,'9.3 TH thu chi theo tên'!$E17)</f>
        <v>0</v>
      </c>
      <c r="K17" s="105">
        <f>SUMIFS('9.1 TH thu,chi PABT+GPMB nhanh '!M$10:M$19987,'9.1 TH thu,chi PABT+GPMB nhanh '!$D$10:$D$19987,'9.3 TH thu chi theo tên'!$B17,'9.1 TH thu,chi PABT+GPMB nhanh '!$E$10:$E$19987,'9.3 TH thu chi theo tên'!$C17,'9.1 TH thu,chi PABT+GPMB nhanh '!$F$10:$F$19987,'9.3 TH thu chi theo tên'!$D17,'9.1 TH thu,chi PABT+GPMB nhanh '!$G$10:$G$19987,'9.3 TH thu chi theo tên'!$E17)</f>
        <v>0</v>
      </c>
    </row>
    <row r="18" spans="1:11" x14ac:dyDescent="0.25">
      <c r="A18" s="88"/>
      <c r="B18" s="86"/>
      <c r="C18" s="86"/>
      <c r="D18" s="86"/>
      <c r="E18" s="86"/>
      <c r="F18" s="105">
        <f>SUMIFS('9.1 TH thu,chi PABT+GPMB nhanh '!H$10:H$19987,'9.1 TH thu,chi PABT+GPMB nhanh '!$D$10:$D$19987,'9.3 TH thu chi theo tên'!$B18,'9.1 TH thu,chi PABT+GPMB nhanh '!$E$10:$E$19987,'9.3 TH thu chi theo tên'!$C18,'9.1 TH thu,chi PABT+GPMB nhanh '!$F$10:$F$19987,'9.3 TH thu chi theo tên'!$D18,'9.1 TH thu,chi PABT+GPMB nhanh '!$G$10:$G$19987,'9.3 TH thu chi theo tên'!$E18)</f>
        <v>0</v>
      </c>
      <c r="G18" s="105">
        <f>SUMIFS('9.1 TH thu,chi PABT+GPMB nhanh '!I$10:I$19987,'9.1 TH thu,chi PABT+GPMB nhanh '!$D$10:$D$19987,'9.3 TH thu chi theo tên'!$B18,'9.1 TH thu,chi PABT+GPMB nhanh '!$E$10:$E$19987,'9.3 TH thu chi theo tên'!$C18,'9.1 TH thu,chi PABT+GPMB nhanh '!$F$10:$F$19987,'9.3 TH thu chi theo tên'!$D18,'9.1 TH thu,chi PABT+GPMB nhanh '!$G$10:$G$19987,'9.3 TH thu chi theo tên'!$E18)</f>
        <v>0</v>
      </c>
      <c r="H18" s="105">
        <f>SUMIFS('9.1 TH thu,chi PABT+GPMB nhanh '!J$10:J$19987,'9.1 TH thu,chi PABT+GPMB nhanh '!$D$10:$D$19987,'9.3 TH thu chi theo tên'!$B18,'9.1 TH thu,chi PABT+GPMB nhanh '!$E$10:$E$19987,'9.3 TH thu chi theo tên'!$C18,'9.1 TH thu,chi PABT+GPMB nhanh '!$F$10:$F$19987,'9.3 TH thu chi theo tên'!$D18,'9.1 TH thu,chi PABT+GPMB nhanh '!$G$10:$G$19987,'9.3 TH thu chi theo tên'!$E18)</f>
        <v>0</v>
      </c>
      <c r="I18" s="105">
        <f>SUMIFS('9.1 TH thu,chi PABT+GPMB nhanh '!K$10:K$19987,'9.1 TH thu,chi PABT+GPMB nhanh '!$D$10:$D$19987,'9.3 TH thu chi theo tên'!$B18,'9.1 TH thu,chi PABT+GPMB nhanh '!$E$10:$E$19987,'9.3 TH thu chi theo tên'!$C18,'9.1 TH thu,chi PABT+GPMB nhanh '!$F$10:$F$19987,'9.3 TH thu chi theo tên'!$D18,'9.1 TH thu,chi PABT+GPMB nhanh '!$G$10:$G$19987,'9.3 TH thu chi theo tên'!$E18)</f>
        <v>0</v>
      </c>
      <c r="J18" s="105">
        <f>SUMIFS('9.1 TH thu,chi PABT+GPMB nhanh '!L$10:L$19987,'9.1 TH thu,chi PABT+GPMB nhanh '!$D$10:$D$19987,'9.3 TH thu chi theo tên'!$B18,'9.1 TH thu,chi PABT+GPMB nhanh '!$E$10:$E$19987,'9.3 TH thu chi theo tên'!$C18,'9.1 TH thu,chi PABT+GPMB nhanh '!$F$10:$F$19987,'9.3 TH thu chi theo tên'!$D18,'9.1 TH thu,chi PABT+GPMB nhanh '!$G$10:$G$19987,'9.3 TH thu chi theo tên'!$E18)</f>
        <v>0</v>
      </c>
      <c r="K18" s="105">
        <f>SUMIFS('9.1 TH thu,chi PABT+GPMB nhanh '!M$10:M$19987,'9.1 TH thu,chi PABT+GPMB nhanh '!$D$10:$D$19987,'9.3 TH thu chi theo tên'!$B18,'9.1 TH thu,chi PABT+GPMB nhanh '!$E$10:$E$19987,'9.3 TH thu chi theo tên'!$C18,'9.1 TH thu,chi PABT+GPMB nhanh '!$F$10:$F$19987,'9.3 TH thu chi theo tên'!$D18,'9.1 TH thu,chi PABT+GPMB nhanh '!$G$10:$G$19987,'9.3 TH thu chi theo tên'!$E18)</f>
        <v>0</v>
      </c>
    </row>
    <row r="19" spans="1:11" x14ac:dyDescent="0.25">
      <c r="A19" s="88"/>
      <c r="B19" s="86"/>
      <c r="C19" s="86"/>
      <c r="D19" s="86"/>
      <c r="E19" s="86"/>
      <c r="F19" s="105">
        <f>SUMIFS('9.1 TH thu,chi PABT+GPMB nhanh '!H$10:H$19987,'9.1 TH thu,chi PABT+GPMB nhanh '!$D$10:$D$19987,'9.3 TH thu chi theo tên'!$B19,'9.1 TH thu,chi PABT+GPMB nhanh '!$E$10:$E$19987,'9.3 TH thu chi theo tên'!$C19,'9.1 TH thu,chi PABT+GPMB nhanh '!$F$10:$F$19987,'9.3 TH thu chi theo tên'!$D19,'9.1 TH thu,chi PABT+GPMB nhanh '!$G$10:$G$19987,'9.3 TH thu chi theo tên'!$E19)</f>
        <v>0</v>
      </c>
      <c r="G19" s="105">
        <f>SUMIFS('9.1 TH thu,chi PABT+GPMB nhanh '!I$10:I$19987,'9.1 TH thu,chi PABT+GPMB nhanh '!$D$10:$D$19987,'9.3 TH thu chi theo tên'!$B19,'9.1 TH thu,chi PABT+GPMB nhanh '!$E$10:$E$19987,'9.3 TH thu chi theo tên'!$C19,'9.1 TH thu,chi PABT+GPMB nhanh '!$F$10:$F$19987,'9.3 TH thu chi theo tên'!$D19,'9.1 TH thu,chi PABT+GPMB nhanh '!$G$10:$G$19987,'9.3 TH thu chi theo tên'!$E19)</f>
        <v>0</v>
      </c>
      <c r="H19" s="105">
        <f>SUMIFS('9.1 TH thu,chi PABT+GPMB nhanh '!J$10:J$19987,'9.1 TH thu,chi PABT+GPMB nhanh '!$D$10:$D$19987,'9.3 TH thu chi theo tên'!$B19,'9.1 TH thu,chi PABT+GPMB nhanh '!$E$10:$E$19987,'9.3 TH thu chi theo tên'!$C19,'9.1 TH thu,chi PABT+GPMB nhanh '!$F$10:$F$19987,'9.3 TH thu chi theo tên'!$D19,'9.1 TH thu,chi PABT+GPMB nhanh '!$G$10:$G$19987,'9.3 TH thu chi theo tên'!$E19)</f>
        <v>0</v>
      </c>
      <c r="I19" s="105">
        <f>SUMIFS('9.1 TH thu,chi PABT+GPMB nhanh '!K$10:K$19987,'9.1 TH thu,chi PABT+GPMB nhanh '!$D$10:$D$19987,'9.3 TH thu chi theo tên'!$B19,'9.1 TH thu,chi PABT+GPMB nhanh '!$E$10:$E$19987,'9.3 TH thu chi theo tên'!$C19,'9.1 TH thu,chi PABT+GPMB nhanh '!$F$10:$F$19987,'9.3 TH thu chi theo tên'!$D19,'9.1 TH thu,chi PABT+GPMB nhanh '!$G$10:$G$19987,'9.3 TH thu chi theo tên'!$E19)</f>
        <v>0</v>
      </c>
      <c r="J19" s="105">
        <f>SUMIFS('9.1 TH thu,chi PABT+GPMB nhanh '!L$10:L$19987,'9.1 TH thu,chi PABT+GPMB nhanh '!$D$10:$D$19987,'9.3 TH thu chi theo tên'!$B19,'9.1 TH thu,chi PABT+GPMB nhanh '!$E$10:$E$19987,'9.3 TH thu chi theo tên'!$C19,'9.1 TH thu,chi PABT+GPMB nhanh '!$F$10:$F$19987,'9.3 TH thu chi theo tên'!$D19,'9.1 TH thu,chi PABT+GPMB nhanh '!$G$10:$G$19987,'9.3 TH thu chi theo tên'!$E19)</f>
        <v>0</v>
      </c>
      <c r="K19" s="105">
        <f>SUMIFS('9.1 TH thu,chi PABT+GPMB nhanh '!M$10:M$19987,'9.1 TH thu,chi PABT+GPMB nhanh '!$D$10:$D$19987,'9.3 TH thu chi theo tên'!$B19,'9.1 TH thu,chi PABT+GPMB nhanh '!$E$10:$E$19987,'9.3 TH thu chi theo tên'!$C19,'9.1 TH thu,chi PABT+GPMB nhanh '!$F$10:$F$19987,'9.3 TH thu chi theo tên'!$D19,'9.1 TH thu,chi PABT+GPMB nhanh '!$G$10:$G$19987,'9.3 TH thu chi theo tên'!$E19)</f>
        <v>0</v>
      </c>
    </row>
    <row r="20" spans="1:11" x14ac:dyDescent="0.25">
      <c r="A20" s="88"/>
      <c r="B20" s="86"/>
      <c r="C20" s="86"/>
      <c r="D20" s="86"/>
      <c r="E20" s="86"/>
      <c r="F20" s="105">
        <f>SUMIFS('9.1 TH thu,chi PABT+GPMB nhanh '!H$10:H$19987,'9.1 TH thu,chi PABT+GPMB nhanh '!$D$10:$D$19987,'9.3 TH thu chi theo tên'!$B20,'9.1 TH thu,chi PABT+GPMB nhanh '!$E$10:$E$19987,'9.3 TH thu chi theo tên'!$C20,'9.1 TH thu,chi PABT+GPMB nhanh '!$F$10:$F$19987,'9.3 TH thu chi theo tên'!$D20,'9.1 TH thu,chi PABT+GPMB nhanh '!$G$10:$G$19987,'9.3 TH thu chi theo tên'!$E20)</f>
        <v>0</v>
      </c>
      <c r="G20" s="105">
        <f>SUMIFS('9.1 TH thu,chi PABT+GPMB nhanh '!I$10:I$19987,'9.1 TH thu,chi PABT+GPMB nhanh '!$D$10:$D$19987,'9.3 TH thu chi theo tên'!$B20,'9.1 TH thu,chi PABT+GPMB nhanh '!$E$10:$E$19987,'9.3 TH thu chi theo tên'!$C20,'9.1 TH thu,chi PABT+GPMB nhanh '!$F$10:$F$19987,'9.3 TH thu chi theo tên'!$D20,'9.1 TH thu,chi PABT+GPMB nhanh '!$G$10:$G$19987,'9.3 TH thu chi theo tên'!$E20)</f>
        <v>0</v>
      </c>
      <c r="H20" s="105">
        <f>SUMIFS('9.1 TH thu,chi PABT+GPMB nhanh '!J$10:J$19987,'9.1 TH thu,chi PABT+GPMB nhanh '!$D$10:$D$19987,'9.3 TH thu chi theo tên'!$B20,'9.1 TH thu,chi PABT+GPMB nhanh '!$E$10:$E$19987,'9.3 TH thu chi theo tên'!$C20,'9.1 TH thu,chi PABT+GPMB nhanh '!$F$10:$F$19987,'9.3 TH thu chi theo tên'!$D20,'9.1 TH thu,chi PABT+GPMB nhanh '!$G$10:$G$19987,'9.3 TH thu chi theo tên'!$E20)</f>
        <v>0</v>
      </c>
      <c r="I20" s="105">
        <f>SUMIFS('9.1 TH thu,chi PABT+GPMB nhanh '!K$10:K$19987,'9.1 TH thu,chi PABT+GPMB nhanh '!$D$10:$D$19987,'9.3 TH thu chi theo tên'!$B20,'9.1 TH thu,chi PABT+GPMB nhanh '!$E$10:$E$19987,'9.3 TH thu chi theo tên'!$C20,'9.1 TH thu,chi PABT+GPMB nhanh '!$F$10:$F$19987,'9.3 TH thu chi theo tên'!$D20,'9.1 TH thu,chi PABT+GPMB nhanh '!$G$10:$G$19987,'9.3 TH thu chi theo tên'!$E20)</f>
        <v>0</v>
      </c>
      <c r="J20" s="105">
        <f>SUMIFS('9.1 TH thu,chi PABT+GPMB nhanh '!L$10:L$19987,'9.1 TH thu,chi PABT+GPMB nhanh '!$D$10:$D$19987,'9.3 TH thu chi theo tên'!$B20,'9.1 TH thu,chi PABT+GPMB nhanh '!$E$10:$E$19987,'9.3 TH thu chi theo tên'!$C20,'9.1 TH thu,chi PABT+GPMB nhanh '!$F$10:$F$19987,'9.3 TH thu chi theo tên'!$D20,'9.1 TH thu,chi PABT+GPMB nhanh '!$G$10:$G$19987,'9.3 TH thu chi theo tên'!$E20)</f>
        <v>0</v>
      </c>
      <c r="K20" s="105">
        <f>SUMIFS('9.1 TH thu,chi PABT+GPMB nhanh '!M$10:M$19987,'9.1 TH thu,chi PABT+GPMB nhanh '!$D$10:$D$19987,'9.3 TH thu chi theo tên'!$B20,'9.1 TH thu,chi PABT+GPMB nhanh '!$E$10:$E$19987,'9.3 TH thu chi theo tên'!$C20,'9.1 TH thu,chi PABT+GPMB nhanh '!$F$10:$F$19987,'9.3 TH thu chi theo tên'!$D20,'9.1 TH thu,chi PABT+GPMB nhanh '!$G$10:$G$19987,'9.3 TH thu chi theo tên'!$E20)</f>
        <v>0</v>
      </c>
    </row>
    <row r="21" spans="1:11" x14ac:dyDescent="0.25">
      <c r="A21" s="88"/>
      <c r="B21" s="86"/>
      <c r="C21" s="86"/>
      <c r="D21" s="86"/>
      <c r="E21" s="86"/>
      <c r="F21" s="105">
        <f>SUMIFS('9.1 TH thu,chi PABT+GPMB nhanh '!H$10:H$19987,'9.1 TH thu,chi PABT+GPMB nhanh '!$D$10:$D$19987,'9.3 TH thu chi theo tên'!$B21,'9.1 TH thu,chi PABT+GPMB nhanh '!$E$10:$E$19987,'9.3 TH thu chi theo tên'!$C21,'9.1 TH thu,chi PABT+GPMB nhanh '!$F$10:$F$19987,'9.3 TH thu chi theo tên'!$D21,'9.1 TH thu,chi PABT+GPMB nhanh '!$G$10:$G$19987,'9.3 TH thu chi theo tên'!$E21)</f>
        <v>0</v>
      </c>
      <c r="G21" s="105">
        <f>SUMIFS('9.1 TH thu,chi PABT+GPMB nhanh '!I$10:I$19987,'9.1 TH thu,chi PABT+GPMB nhanh '!$D$10:$D$19987,'9.3 TH thu chi theo tên'!$B21,'9.1 TH thu,chi PABT+GPMB nhanh '!$E$10:$E$19987,'9.3 TH thu chi theo tên'!$C21,'9.1 TH thu,chi PABT+GPMB nhanh '!$F$10:$F$19987,'9.3 TH thu chi theo tên'!$D21,'9.1 TH thu,chi PABT+GPMB nhanh '!$G$10:$G$19987,'9.3 TH thu chi theo tên'!$E21)</f>
        <v>0</v>
      </c>
      <c r="H21" s="105">
        <f>SUMIFS('9.1 TH thu,chi PABT+GPMB nhanh '!J$10:J$19987,'9.1 TH thu,chi PABT+GPMB nhanh '!$D$10:$D$19987,'9.3 TH thu chi theo tên'!$B21,'9.1 TH thu,chi PABT+GPMB nhanh '!$E$10:$E$19987,'9.3 TH thu chi theo tên'!$C21,'9.1 TH thu,chi PABT+GPMB nhanh '!$F$10:$F$19987,'9.3 TH thu chi theo tên'!$D21,'9.1 TH thu,chi PABT+GPMB nhanh '!$G$10:$G$19987,'9.3 TH thu chi theo tên'!$E21)</f>
        <v>0</v>
      </c>
      <c r="I21" s="105">
        <f>SUMIFS('9.1 TH thu,chi PABT+GPMB nhanh '!K$10:K$19987,'9.1 TH thu,chi PABT+GPMB nhanh '!$D$10:$D$19987,'9.3 TH thu chi theo tên'!$B21,'9.1 TH thu,chi PABT+GPMB nhanh '!$E$10:$E$19987,'9.3 TH thu chi theo tên'!$C21,'9.1 TH thu,chi PABT+GPMB nhanh '!$F$10:$F$19987,'9.3 TH thu chi theo tên'!$D21,'9.1 TH thu,chi PABT+GPMB nhanh '!$G$10:$G$19987,'9.3 TH thu chi theo tên'!$E21)</f>
        <v>0</v>
      </c>
      <c r="J21" s="105">
        <f>SUMIFS('9.1 TH thu,chi PABT+GPMB nhanh '!L$10:L$19987,'9.1 TH thu,chi PABT+GPMB nhanh '!$D$10:$D$19987,'9.3 TH thu chi theo tên'!$B21,'9.1 TH thu,chi PABT+GPMB nhanh '!$E$10:$E$19987,'9.3 TH thu chi theo tên'!$C21,'9.1 TH thu,chi PABT+GPMB nhanh '!$F$10:$F$19987,'9.3 TH thu chi theo tên'!$D21,'9.1 TH thu,chi PABT+GPMB nhanh '!$G$10:$G$19987,'9.3 TH thu chi theo tên'!$E21)</f>
        <v>0</v>
      </c>
      <c r="K21" s="105">
        <f>SUMIFS('9.1 TH thu,chi PABT+GPMB nhanh '!M$10:M$19987,'9.1 TH thu,chi PABT+GPMB nhanh '!$D$10:$D$19987,'9.3 TH thu chi theo tên'!$B21,'9.1 TH thu,chi PABT+GPMB nhanh '!$E$10:$E$19987,'9.3 TH thu chi theo tên'!$C21,'9.1 TH thu,chi PABT+GPMB nhanh '!$F$10:$F$19987,'9.3 TH thu chi theo tên'!$D21,'9.1 TH thu,chi PABT+GPMB nhanh '!$G$10:$G$19987,'9.3 TH thu chi theo tên'!$E21)</f>
        <v>0</v>
      </c>
    </row>
  </sheetData>
  <mergeCells count="6">
    <mergeCell ref="A1:D1"/>
    <mergeCell ref="A2:D2"/>
    <mergeCell ref="A4:K4"/>
    <mergeCell ref="F6:H6"/>
    <mergeCell ref="I6:K6"/>
    <mergeCell ref="A6:E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5A3F-1A2E-428D-8551-6B7B94188A0D}">
  <sheetPr>
    <tabColor rgb="FFFF0000"/>
  </sheetPr>
  <dimension ref="A1:L19"/>
  <sheetViews>
    <sheetView zoomScale="90" zoomScaleNormal="90" workbookViewId="0">
      <selection activeCell="K27" sqref="K27"/>
    </sheetView>
  </sheetViews>
  <sheetFormatPr defaultColWidth="8.85546875" defaultRowHeight="12.75" x14ac:dyDescent="0.25"/>
  <cols>
    <col min="1" max="1" width="7.85546875" style="16" bestFit="1" customWidth="1"/>
    <col min="2" max="2" width="11.140625" style="13" customWidth="1"/>
    <col min="3" max="3" width="11.140625" style="26" customWidth="1"/>
    <col min="4" max="4" width="18.140625" style="27" customWidth="1"/>
    <col min="5" max="5" width="42.7109375" style="16" customWidth="1"/>
    <col min="6" max="6" width="13.7109375" style="16" customWidth="1"/>
    <col min="7" max="7" width="13" style="13" customWidth="1"/>
    <col min="8" max="8" width="11.140625" style="16" customWidth="1"/>
    <col min="9" max="9" width="18.140625" style="27" customWidth="1"/>
    <col min="10" max="10" width="18.7109375" style="16" customWidth="1"/>
    <col min="11" max="11" width="14.28515625" style="16" customWidth="1"/>
    <col min="12" max="12" width="19.140625" style="27" customWidth="1"/>
    <col min="13" max="16384" width="8.85546875" style="16"/>
  </cols>
  <sheetData>
    <row r="1" spans="1:12" ht="15.75" x14ac:dyDescent="0.25">
      <c r="A1" s="168" t="s">
        <v>9</v>
      </c>
      <c r="B1" s="168"/>
      <c r="C1" s="168"/>
      <c r="D1" s="168"/>
      <c r="E1" s="168"/>
      <c r="F1" s="1"/>
      <c r="G1" s="1"/>
      <c r="H1" s="20"/>
      <c r="I1" s="25"/>
      <c r="J1" s="60"/>
      <c r="K1" s="60"/>
      <c r="L1" s="61"/>
    </row>
    <row r="2" spans="1:12" ht="15.75" x14ac:dyDescent="0.25">
      <c r="A2" s="168" t="s">
        <v>10</v>
      </c>
      <c r="B2" s="168"/>
      <c r="C2" s="168"/>
      <c r="D2" s="168"/>
      <c r="E2" s="168"/>
      <c r="F2" s="1"/>
      <c r="G2" s="1"/>
      <c r="H2" s="20"/>
      <c r="I2" s="25"/>
      <c r="J2" s="60"/>
      <c r="K2" s="60"/>
      <c r="L2" s="61"/>
    </row>
    <row r="3" spans="1:12" ht="15.75" x14ac:dyDescent="0.25">
      <c r="A3" s="2"/>
      <c r="B3" s="21"/>
      <c r="C3" s="147"/>
      <c r="D3" s="48"/>
      <c r="E3" s="24"/>
      <c r="F3" s="24"/>
      <c r="G3" s="21"/>
      <c r="H3" s="63"/>
      <c r="I3" s="24"/>
      <c r="J3" s="60"/>
      <c r="K3" s="60"/>
      <c r="L3" s="61"/>
    </row>
    <row r="4" spans="1:12" ht="21" customHeight="1" x14ac:dyDescent="0.25">
      <c r="A4" s="168" t="s">
        <v>254</v>
      </c>
      <c r="B4" s="168"/>
      <c r="C4" s="168"/>
      <c r="D4" s="168"/>
      <c r="E4" s="168"/>
      <c r="F4" s="168"/>
      <c r="G4" s="168"/>
      <c r="H4" s="168"/>
      <c r="I4" s="168"/>
      <c r="J4" s="168"/>
      <c r="K4" s="168"/>
      <c r="L4" s="168"/>
    </row>
    <row r="5" spans="1:12" x14ac:dyDescent="0.25">
      <c r="E5" s="27"/>
      <c r="F5" s="27"/>
      <c r="H5" s="17"/>
    </row>
    <row r="6" spans="1:12" ht="25.5" x14ac:dyDescent="0.25">
      <c r="A6" s="8" t="s">
        <v>0</v>
      </c>
      <c r="B6" s="8" t="s">
        <v>101</v>
      </c>
      <c r="C6" s="9" t="s">
        <v>1</v>
      </c>
      <c r="D6" s="28" t="s">
        <v>102</v>
      </c>
      <c r="E6" s="28" t="s">
        <v>96</v>
      </c>
      <c r="F6" s="28" t="s">
        <v>3</v>
      </c>
      <c r="G6" s="8" t="s">
        <v>4</v>
      </c>
      <c r="H6" s="9" t="s">
        <v>97</v>
      </c>
      <c r="I6" s="28" t="s">
        <v>98</v>
      </c>
      <c r="J6" s="8" t="s">
        <v>99</v>
      </c>
      <c r="K6" s="8" t="s">
        <v>100</v>
      </c>
      <c r="L6" s="28" t="s">
        <v>62</v>
      </c>
    </row>
    <row r="7" spans="1:12" x14ac:dyDescent="0.25">
      <c r="A7" s="8"/>
      <c r="B7" s="174" t="s">
        <v>381</v>
      </c>
      <c r="C7" s="183"/>
      <c r="D7" s="28"/>
      <c r="E7" s="28"/>
      <c r="F7" s="28"/>
      <c r="G7" s="8"/>
      <c r="H7" s="9"/>
      <c r="I7" s="28"/>
      <c r="J7" s="8"/>
      <c r="K7" s="8"/>
      <c r="L7" s="28"/>
    </row>
    <row r="8" spans="1:12" ht="38.25" customHeight="1" x14ac:dyDescent="0.25">
      <c r="A8" s="8" t="s">
        <v>382</v>
      </c>
      <c r="B8" s="174" t="s">
        <v>322</v>
      </c>
      <c r="C8" s="183"/>
      <c r="D8" s="28" t="s">
        <v>383</v>
      </c>
      <c r="E8" s="28" t="s">
        <v>384</v>
      </c>
      <c r="F8" s="28" t="s">
        <v>372</v>
      </c>
      <c r="G8" s="8" t="s">
        <v>374</v>
      </c>
      <c r="H8" s="9" t="s">
        <v>385</v>
      </c>
      <c r="I8" s="28" t="s">
        <v>386</v>
      </c>
      <c r="J8" s="8" t="s">
        <v>387</v>
      </c>
      <c r="K8" s="8" t="s">
        <v>388</v>
      </c>
      <c r="L8" s="28" t="s">
        <v>389</v>
      </c>
    </row>
    <row r="9" spans="1:12" x14ac:dyDescent="0.25">
      <c r="A9" s="195" t="s">
        <v>58</v>
      </c>
      <c r="B9" s="196"/>
      <c r="C9" s="196"/>
      <c r="D9" s="11">
        <f>SUBTOTAL(9,D10:D20001)</f>
        <v>1000000000</v>
      </c>
      <c r="E9" s="11"/>
      <c r="F9" s="11"/>
      <c r="G9" s="30"/>
      <c r="H9" s="31"/>
      <c r="I9" s="11">
        <f>SUBTOTAL(9,I10:I20001)</f>
        <v>1000000000</v>
      </c>
      <c r="J9" s="30"/>
      <c r="K9" s="30"/>
      <c r="L9" s="11">
        <f>SUBTOTAL(9,L10:L20001)</f>
        <v>0</v>
      </c>
    </row>
    <row r="10" spans="1:12" ht="25.5" x14ac:dyDescent="0.25">
      <c r="A10" s="7"/>
      <c r="B10" s="8">
        <v>500</v>
      </c>
      <c r="C10" s="9">
        <f>IF(B10&lt;&gt;"",INDEX(Table9[N/T/N],MATCH(B10,Table9[Số QĐ/CV chi phí hội đồng],0)),"")</f>
        <v>45296</v>
      </c>
      <c r="D10" s="59">
        <v>1000000000</v>
      </c>
      <c r="E10" s="7" t="s">
        <v>253</v>
      </c>
      <c r="F10" s="7" t="s">
        <v>5</v>
      </c>
      <c r="G10" s="8" t="s">
        <v>8</v>
      </c>
      <c r="H10" s="7"/>
      <c r="I10" s="59">
        <v>1000000000</v>
      </c>
      <c r="J10" s="7"/>
      <c r="K10" s="7"/>
      <c r="L10" s="12">
        <f t="shared" ref="L10:L19" si="0">(D10-I10)</f>
        <v>0</v>
      </c>
    </row>
    <row r="11" spans="1:12" x14ac:dyDescent="0.25">
      <c r="A11" s="7"/>
      <c r="B11" s="8"/>
      <c r="C11" s="9" t="str">
        <f>IF(B11&lt;&gt;"",INDEX(Table9[N/T/N],MATCH(B11,Table9[Số QĐ/CV chi phí hội đồng],0)),"")</f>
        <v/>
      </c>
      <c r="D11" s="59"/>
      <c r="E11" s="7"/>
      <c r="F11" s="7"/>
      <c r="G11" s="8"/>
      <c r="H11" s="7"/>
      <c r="I11" s="59"/>
      <c r="J11" s="7"/>
      <c r="K11" s="7"/>
      <c r="L11" s="12">
        <f t="shared" si="0"/>
        <v>0</v>
      </c>
    </row>
    <row r="12" spans="1:12" x14ac:dyDescent="0.25">
      <c r="A12" s="7"/>
      <c r="B12" s="8"/>
      <c r="C12" s="9" t="str">
        <f>IF(B12&lt;&gt;"",INDEX(Table9[N/T/N],MATCH(B12,Table9[Số QĐ/CV chi phí hội đồng],0)),"")</f>
        <v/>
      </c>
      <c r="D12" s="59"/>
      <c r="E12" s="7"/>
      <c r="F12" s="7"/>
      <c r="G12" s="8"/>
      <c r="H12" s="7"/>
      <c r="I12" s="59"/>
      <c r="J12" s="7"/>
      <c r="K12" s="7"/>
      <c r="L12" s="12">
        <f t="shared" si="0"/>
        <v>0</v>
      </c>
    </row>
    <row r="13" spans="1:12" x14ac:dyDescent="0.25">
      <c r="A13" s="7"/>
      <c r="B13" s="8"/>
      <c r="C13" s="9" t="str">
        <f>IF(B13&lt;&gt;"",INDEX(Table9[N/T/N],MATCH(B13,Table9[Số QĐ/CV chi phí hội đồng],0)),"")</f>
        <v/>
      </c>
      <c r="D13" s="59"/>
      <c r="E13" s="7"/>
      <c r="F13" s="7"/>
      <c r="G13" s="8"/>
      <c r="H13" s="7"/>
      <c r="I13" s="59"/>
      <c r="J13" s="7"/>
      <c r="K13" s="7"/>
      <c r="L13" s="12">
        <f t="shared" si="0"/>
        <v>0</v>
      </c>
    </row>
    <row r="14" spans="1:12" x14ac:dyDescent="0.25">
      <c r="A14" s="7"/>
      <c r="B14" s="8"/>
      <c r="C14" s="9" t="str">
        <f>IF(B14&lt;&gt;"",INDEX(Table9[N/T/N],MATCH(B14,Table9[Số QĐ/CV chi phí hội đồng],0)),"")</f>
        <v/>
      </c>
      <c r="D14" s="59"/>
      <c r="E14" s="7"/>
      <c r="F14" s="7"/>
      <c r="G14" s="8"/>
      <c r="H14" s="7"/>
      <c r="I14" s="59"/>
      <c r="J14" s="7"/>
      <c r="K14" s="7"/>
      <c r="L14" s="12">
        <f t="shared" si="0"/>
        <v>0</v>
      </c>
    </row>
    <row r="15" spans="1:12" x14ac:dyDescent="0.25">
      <c r="A15" s="7"/>
      <c r="B15" s="8"/>
      <c r="C15" s="9" t="str">
        <f>IF(B15&lt;&gt;"",INDEX(Table9[N/T/N],MATCH(B15,Table9[Số QĐ/CV chi phí hội đồng],0)),"")</f>
        <v/>
      </c>
      <c r="D15" s="59"/>
      <c r="E15" s="7"/>
      <c r="F15" s="7"/>
      <c r="G15" s="8"/>
      <c r="H15" s="7"/>
      <c r="I15" s="59"/>
      <c r="J15" s="7"/>
      <c r="K15" s="7"/>
      <c r="L15" s="12">
        <f t="shared" si="0"/>
        <v>0</v>
      </c>
    </row>
    <row r="16" spans="1:12" x14ac:dyDescent="0.25">
      <c r="A16" s="7"/>
      <c r="B16" s="8"/>
      <c r="C16" s="9" t="str">
        <f>IF(B16&lt;&gt;"",INDEX(Table9[N/T/N],MATCH(B16,Table9[Số QĐ/CV chi phí hội đồng],0)),"")</f>
        <v/>
      </c>
      <c r="D16" s="59"/>
      <c r="E16" s="7"/>
      <c r="F16" s="7"/>
      <c r="G16" s="8"/>
      <c r="H16" s="7"/>
      <c r="I16" s="59"/>
      <c r="J16" s="7"/>
      <c r="K16" s="7"/>
      <c r="L16" s="12">
        <f t="shared" si="0"/>
        <v>0</v>
      </c>
    </row>
    <row r="17" spans="1:12" x14ac:dyDescent="0.25">
      <c r="A17" s="7"/>
      <c r="B17" s="8"/>
      <c r="C17" s="9" t="str">
        <f>IF(B17&lt;&gt;"",INDEX(Table9[N/T/N],MATCH(B17,Table9[Số QĐ/CV chi phí hội đồng],0)),"")</f>
        <v/>
      </c>
      <c r="D17" s="59"/>
      <c r="E17" s="7"/>
      <c r="F17" s="7"/>
      <c r="G17" s="8"/>
      <c r="H17" s="7"/>
      <c r="I17" s="59"/>
      <c r="J17" s="7"/>
      <c r="K17" s="7"/>
      <c r="L17" s="12">
        <f t="shared" si="0"/>
        <v>0</v>
      </c>
    </row>
    <row r="18" spans="1:12" x14ac:dyDescent="0.25">
      <c r="A18" s="7"/>
      <c r="B18" s="8"/>
      <c r="C18" s="9" t="str">
        <f>IF(B18&lt;&gt;"",INDEX(Table9[N/T/N],MATCH(B18,Table9[Số QĐ/CV chi phí hội đồng],0)),"")</f>
        <v/>
      </c>
      <c r="D18" s="59"/>
      <c r="E18" s="7"/>
      <c r="F18" s="7"/>
      <c r="G18" s="8"/>
      <c r="H18" s="7"/>
      <c r="I18" s="59"/>
      <c r="J18" s="7"/>
      <c r="K18" s="7"/>
      <c r="L18" s="12">
        <f t="shared" si="0"/>
        <v>0</v>
      </c>
    </row>
    <row r="19" spans="1:12" x14ac:dyDescent="0.25">
      <c r="A19" s="7"/>
      <c r="B19" s="8"/>
      <c r="C19" s="9" t="str">
        <f>IF(B19&lt;&gt;"",INDEX(Table9[N/T/N],MATCH(B19,Table9[Số QĐ/CV chi phí hội đồng],0)),"")</f>
        <v/>
      </c>
      <c r="D19" s="59"/>
      <c r="E19" s="7"/>
      <c r="F19" s="7"/>
      <c r="G19" s="8"/>
      <c r="H19" s="7"/>
      <c r="I19" s="59"/>
      <c r="J19" s="7"/>
      <c r="K19" s="7"/>
      <c r="L19" s="12">
        <f t="shared" si="0"/>
        <v>0</v>
      </c>
    </row>
  </sheetData>
  <mergeCells count="6">
    <mergeCell ref="A1:E1"/>
    <mergeCell ref="A2:E2"/>
    <mergeCell ref="A9:C9"/>
    <mergeCell ref="A4:L4"/>
    <mergeCell ref="B8:C8"/>
    <mergeCell ref="B7:C7"/>
  </mergeCells>
  <dataValidations count="3">
    <dataValidation type="list" allowBlank="1" showInputMessage="1" showErrorMessage="1" sqref="B10:B19" xr:uid="{710CAD0A-01D2-4DBD-AA41-9A891AD20F23}">
      <formula1>Số_QĐ_CV_chi_phí_hội_đồng</formula1>
    </dataValidation>
    <dataValidation type="list" allowBlank="1" showInputMessage="1" showErrorMessage="1" sqref="G10:G19" xr:uid="{C307DC7A-8AA4-4410-AA4D-C61B098AD97C}">
      <formula1>Hình_thức_thu_chi</formula1>
    </dataValidation>
    <dataValidation type="list" allowBlank="1" showInputMessage="1" showErrorMessage="1" sqref="F10:F19" xr:uid="{47A9244D-7879-436A-9780-EF6CD8EA64D9}">
      <formula1>Loại_chứng_từ</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D921-DEE9-49DA-B1DE-8266445A1306}">
  <dimension ref="A1:P19"/>
  <sheetViews>
    <sheetView zoomScale="87" zoomScaleNormal="87" workbookViewId="0">
      <selection activeCell="L23" sqref="L23"/>
    </sheetView>
  </sheetViews>
  <sheetFormatPr defaultColWidth="8.85546875" defaultRowHeight="12.75" x14ac:dyDescent="0.25"/>
  <cols>
    <col min="1" max="1" width="4.5703125" style="16" customWidth="1"/>
    <col min="2" max="2" width="19.28515625" style="13" customWidth="1"/>
    <col min="3" max="5" width="15.5703125" style="13" customWidth="1"/>
    <col min="6" max="6" width="15.85546875" style="51" customWidth="1"/>
    <col min="7" max="8" width="12.28515625" style="16" customWidth="1"/>
    <col min="9" max="9" width="17.7109375" style="13" customWidth="1"/>
    <col min="10" max="11" width="11.28515625" style="13" customWidth="1"/>
    <col min="12" max="12" width="30" style="16" customWidth="1"/>
    <col min="13" max="13" width="9.5703125" style="16" customWidth="1"/>
    <col min="14" max="14" width="12.7109375" style="16" customWidth="1"/>
    <col min="15" max="15" width="15.85546875" style="51" customWidth="1"/>
    <col min="16" max="16" width="15.85546875" style="27" customWidth="1"/>
    <col min="17" max="16384" width="8.85546875" style="16"/>
  </cols>
  <sheetData>
    <row r="1" spans="1:16" ht="15.6" customHeight="1" x14ac:dyDescent="0.25">
      <c r="A1" s="168" t="s">
        <v>9</v>
      </c>
      <c r="B1" s="168"/>
      <c r="C1" s="168"/>
      <c r="D1" s="168"/>
      <c r="E1" s="1"/>
      <c r="F1" s="44"/>
      <c r="G1" s="1"/>
      <c r="H1" s="1"/>
      <c r="I1" s="1"/>
      <c r="J1" s="1"/>
      <c r="K1" s="1"/>
      <c r="L1" s="2"/>
      <c r="M1" s="24"/>
      <c r="N1" s="25"/>
      <c r="O1" s="46"/>
    </row>
    <row r="2" spans="1:16" ht="15.6" customHeight="1" x14ac:dyDescent="0.25">
      <c r="A2" s="168" t="s">
        <v>10</v>
      </c>
      <c r="B2" s="168"/>
      <c r="C2" s="168"/>
      <c r="D2" s="168"/>
      <c r="E2" s="1"/>
      <c r="F2" s="44"/>
      <c r="G2" s="1"/>
      <c r="H2" s="1"/>
      <c r="I2" s="1"/>
      <c r="J2" s="1"/>
      <c r="K2" s="1"/>
      <c r="L2" s="2"/>
      <c r="M2" s="24"/>
      <c r="N2" s="25"/>
      <c r="O2" s="46"/>
    </row>
    <row r="3" spans="1:16" ht="15.75" x14ac:dyDescent="0.25">
      <c r="A3" s="1"/>
      <c r="B3" s="1"/>
      <c r="C3" s="1"/>
      <c r="D3" s="1"/>
      <c r="E3" s="1"/>
      <c r="F3" s="44"/>
      <c r="G3" s="1"/>
      <c r="H3" s="1"/>
      <c r="I3" s="1"/>
      <c r="J3" s="1"/>
      <c r="K3" s="1"/>
      <c r="L3" s="1"/>
      <c r="M3" s="25"/>
      <c r="N3" s="25"/>
      <c r="O3" s="46"/>
    </row>
    <row r="4" spans="1:16" ht="15.75" x14ac:dyDescent="0.25">
      <c r="A4" s="168" t="s">
        <v>80</v>
      </c>
      <c r="B4" s="168"/>
      <c r="C4" s="168"/>
      <c r="D4" s="168"/>
      <c r="E4" s="168"/>
      <c r="F4" s="168"/>
      <c r="G4" s="168"/>
      <c r="H4" s="168"/>
      <c r="I4" s="168"/>
      <c r="J4" s="168"/>
      <c r="K4" s="168"/>
      <c r="L4" s="168"/>
      <c r="M4" s="168"/>
      <c r="N4" s="168"/>
      <c r="O4" s="168"/>
    </row>
    <row r="5" spans="1:16" x14ac:dyDescent="0.25">
      <c r="M5" s="27"/>
      <c r="N5" s="23"/>
    </row>
    <row r="6" spans="1:16" ht="15.6" customHeight="1" x14ac:dyDescent="0.25">
      <c r="A6" s="181" t="s">
        <v>40</v>
      </c>
      <c r="B6" s="181"/>
      <c r="C6" s="181"/>
      <c r="D6" s="181"/>
      <c r="E6" s="181"/>
      <c r="F6" s="181"/>
      <c r="G6" s="174" t="s">
        <v>81</v>
      </c>
      <c r="H6" s="175"/>
      <c r="I6" s="175"/>
      <c r="J6" s="175"/>
      <c r="K6" s="175"/>
      <c r="L6" s="175"/>
      <c r="M6" s="175"/>
      <c r="N6" s="175"/>
      <c r="O6" s="175"/>
      <c r="P6" s="183"/>
    </row>
    <row r="7" spans="1:16" ht="25.5" x14ac:dyDescent="0.25">
      <c r="A7" s="33" t="s">
        <v>0</v>
      </c>
      <c r="B7" s="33" t="s">
        <v>36</v>
      </c>
      <c r="C7" s="4" t="s">
        <v>133</v>
      </c>
      <c r="D7" s="5" t="s">
        <v>154</v>
      </c>
      <c r="E7" s="5" t="s">
        <v>82</v>
      </c>
      <c r="F7" s="101" t="s">
        <v>89</v>
      </c>
      <c r="G7" s="47" t="s">
        <v>3</v>
      </c>
      <c r="H7" s="47" t="s">
        <v>83</v>
      </c>
      <c r="I7" s="33" t="s">
        <v>84</v>
      </c>
      <c r="J7" s="33" t="s">
        <v>257</v>
      </c>
      <c r="K7" s="33" t="s">
        <v>132</v>
      </c>
      <c r="L7" s="33" t="s">
        <v>85</v>
      </c>
      <c r="M7" s="34" t="s">
        <v>86</v>
      </c>
      <c r="N7" s="33" t="s">
        <v>87</v>
      </c>
      <c r="O7" s="123" t="s">
        <v>88</v>
      </c>
      <c r="P7" s="148" t="s">
        <v>64</v>
      </c>
    </row>
    <row r="8" spans="1:16" x14ac:dyDescent="0.25">
      <c r="A8" s="170"/>
      <c r="B8" s="170"/>
      <c r="C8" s="170"/>
      <c r="D8" s="170"/>
      <c r="E8" s="170"/>
      <c r="F8" s="38">
        <f>SUBTOTAL(9,F9:F19999)</f>
        <v>15000000</v>
      </c>
      <c r="G8" s="64"/>
      <c r="H8" s="64"/>
      <c r="I8" s="64"/>
      <c r="J8" s="64"/>
      <c r="K8" s="64"/>
      <c r="L8" s="64"/>
      <c r="M8" s="64"/>
      <c r="N8" s="30"/>
      <c r="O8" s="38">
        <f>SUBTOTAL(9,O9:O19999)</f>
        <v>15000000</v>
      </c>
      <c r="P8" s="11">
        <f>SUBTOTAL(9,P9:P19999)</f>
        <v>0</v>
      </c>
    </row>
    <row r="9" spans="1:16" ht="25.5" x14ac:dyDescent="0.25">
      <c r="A9" s="7"/>
      <c r="B9" s="8" t="s">
        <v>110</v>
      </c>
      <c r="C9" s="8" t="s">
        <v>152</v>
      </c>
      <c r="D9" s="8" t="s">
        <v>112</v>
      </c>
      <c r="E9" s="8" t="s">
        <v>114</v>
      </c>
      <c r="F9" s="39">
        <v>1000000</v>
      </c>
      <c r="G9" s="8" t="s">
        <v>5</v>
      </c>
      <c r="H9" s="8" t="s">
        <v>6</v>
      </c>
      <c r="I9" s="8" t="s">
        <v>91</v>
      </c>
      <c r="J9" s="8">
        <v>110</v>
      </c>
      <c r="K9" s="8"/>
      <c r="L9" s="7" t="s">
        <v>255</v>
      </c>
      <c r="M9" s="67">
        <v>45298</v>
      </c>
      <c r="N9" s="7" t="s">
        <v>258</v>
      </c>
      <c r="O9" s="39">
        <v>1000000</v>
      </c>
      <c r="P9" s="12">
        <f t="shared" ref="P9:P19" si="0">F9-O9</f>
        <v>0</v>
      </c>
    </row>
    <row r="10" spans="1:16" ht="25.5" x14ac:dyDescent="0.25">
      <c r="A10" s="7"/>
      <c r="B10" s="8" t="s">
        <v>110</v>
      </c>
      <c r="C10" s="8" t="s">
        <v>152</v>
      </c>
      <c r="D10" s="8" t="s">
        <v>112</v>
      </c>
      <c r="E10" s="8" t="s">
        <v>114</v>
      </c>
      <c r="F10" s="39">
        <v>2000000</v>
      </c>
      <c r="G10" s="8" t="s">
        <v>5</v>
      </c>
      <c r="H10" s="8" t="s">
        <v>6</v>
      </c>
      <c r="I10" s="8" t="s">
        <v>92</v>
      </c>
      <c r="J10" s="8">
        <v>110</v>
      </c>
      <c r="K10" s="8">
        <v>210</v>
      </c>
      <c r="L10" s="7" t="s">
        <v>256</v>
      </c>
      <c r="M10" s="7"/>
      <c r="N10" s="7"/>
      <c r="O10" s="39">
        <v>2000000</v>
      </c>
      <c r="P10" s="12">
        <f t="shared" si="0"/>
        <v>0</v>
      </c>
    </row>
    <row r="11" spans="1:16" x14ac:dyDescent="0.25">
      <c r="A11" s="7"/>
      <c r="B11" s="8" t="s">
        <v>110</v>
      </c>
      <c r="C11" s="8" t="s">
        <v>152</v>
      </c>
      <c r="D11" s="8" t="s">
        <v>112</v>
      </c>
      <c r="E11" s="8" t="s">
        <v>114</v>
      </c>
      <c r="F11" s="39">
        <v>3000000</v>
      </c>
      <c r="G11" s="8" t="s">
        <v>5</v>
      </c>
      <c r="H11" s="8" t="s">
        <v>6</v>
      </c>
      <c r="I11" s="8" t="s">
        <v>91</v>
      </c>
      <c r="J11" s="8">
        <v>120</v>
      </c>
      <c r="K11" s="8"/>
      <c r="L11" s="7" t="s">
        <v>93</v>
      </c>
      <c r="M11" s="7"/>
      <c r="N11" s="7"/>
      <c r="O11" s="39">
        <v>3000000</v>
      </c>
      <c r="P11" s="12">
        <f t="shared" si="0"/>
        <v>0</v>
      </c>
    </row>
    <row r="12" spans="1:16" x14ac:dyDescent="0.25">
      <c r="A12" s="7"/>
      <c r="B12" s="8" t="s">
        <v>110</v>
      </c>
      <c r="C12" s="8" t="s">
        <v>152</v>
      </c>
      <c r="D12" s="8" t="s">
        <v>112</v>
      </c>
      <c r="E12" s="8" t="s">
        <v>114</v>
      </c>
      <c r="F12" s="39">
        <v>4000000</v>
      </c>
      <c r="G12" s="8" t="s">
        <v>5</v>
      </c>
      <c r="H12" s="8" t="s">
        <v>6</v>
      </c>
      <c r="I12" s="8" t="s">
        <v>91</v>
      </c>
      <c r="J12" s="8">
        <v>130</v>
      </c>
      <c r="K12" s="8"/>
      <c r="L12" s="7" t="s">
        <v>94</v>
      </c>
      <c r="M12" s="7"/>
      <c r="N12" s="7"/>
      <c r="O12" s="39">
        <v>4000000</v>
      </c>
      <c r="P12" s="12">
        <f t="shared" si="0"/>
        <v>0</v>
      </c>
    </row>
    <row r="13" spans="1:16" ht="25.5" x14ac:dyDescent="0.25">
      <c r="A13" s="7"/>
      <c r="B13" s="8" t="s">
        <v>110</v>
      </c>
      <c r="C13" s="8" t="s">
        <v>152</v>
      </c>
      <c r="D13" s="8" t="s">
        <v>112</v>
      </c>
      <c r="E13" s="8" t="s">
        <v>114</v>
      </c>
      <c r="F13" s="39">
        <v>5000000</v>
      </c>
      <c r="G13" s="8" t="s">
        <v>5</v>
      </c>
      <c r="H13" s="8" t="s">
        <v>6</v>
      </c>
      <c r="I13" s="8" t="s">
        <v>249</v>
      </c>
      <c r="J13" s="8"/>
      <c r="K13" s="8"/>
      <c r="L13" s="7" t="s">
        <v>95</v>
      </c>
      <c r="M13" s="7"/>
      <c r="N13" s="7"/>
      <c r="O13" s="39">
        <v>5000000</v>
      </c>
      <c r="P13" s="12">
        <f t="shared" si="0"/>
        <v>0</v>
      </c>
    </row>
    <row r="14" spans="1:16" x14ac:dyDescent="0.25">
      <c r="A14" s="7"/>
      <c r="B14" s="8"/>
      <c r="C14" s="8"/>
      <c r="D14" s="8"/>
      <c r="E14" s="8"/>
      <c r="F14" s="39"/>
      <c r="G14" s="8"/>
      <c r="H14" s="8"/>
      <c r="I14" s="8"/>
      <c r="J14" s="8"/>
      <c r="K14" s="8"/>
      <c r="L14" s="7"/>
      <c r="M14" s="7"/>
      <c r="N14" s="7"/>
      <c r="O14" s="39"/>
      <c r="P14" s="12">
        <f t="shared" si="0"/>
        <v>0</v>
      </c>
    </row>
    <row r="15" spans="1:16" x14ac:dyDescent="0.25">
      <c r="A15" s="7"/>
      <c r="B15" s="8"/>
      <c r="C15" s="8"/>
      <c r="D15" s="8"/>
      <c r="E15" s="8"/>
      <c r="F15" s="39"/>
      <c r="G15" s="8"/>
      <c r="H15" s="8"/>
      <c r="I15" s="8"/>
      <c r="J15" s="8"/>
      <c r="K15" s="8"/>
      <c r="L15" s="7"/>
      <c r="M15" s="7"/>
      <c r="N15" s="7"/>
      <c r="O15" s="39"/>
      <c r="P15" s="12">
        <f t="shared" si="0"/>
        <v>0</v>
      </c>
    </row>
    <row r="16" spans="1:16" x14ac:dyDescent="0.25">
      <c r="A16" s="7"/>
      <c r="B16" s="8"/>
      <c r="C16" s="8"/>
      <c r="D16" s="8"/>
      <c r="E16" s="8"/>
      <c r="F16" s="39"/>
      <c r="G16" s="8"/>
      <c r="H16" s="8"/>
      <c r="I16" s="8"/>
      <c r="J16" s="8"/>
      <c r="K16" s="8"/>
      <c r="L16" s="7"/>
      <c r="M16" s="7"/>
      <c r="N16" s="7"/>
      <c r="O16" s="39"/>
      <c r="P16" s="12">
        <f t="shared" si="0"/>
        <v>0</v>
      </c>
    </row>
    <row r="17" spans="1:16" x14ac:dyDescent="0.25">
      <c r="A17" s="7"/>
      <c r="B17" s="8"/>
      <c r="C17" s="8"/>
      <c r="D17" s="8"/>
      <c r="E17" s="8"/>
      <c r="F17" s="39"/>
      <c r="G17" s="8"/>
      <c r="H17" s="8"/>
      <c r="I17" s="8"/>
      <c r="J17" s="8"/>
      <c r="K17" s="8"/>
      <c r="L17" s="7"/>
      <c r="M17" s="7"/>
      <c r="N17" s="7"/>
      <c r="O17" s="39"/>
      <c r="P17" s="12">
        <f t="shared" si="0"/>
        <v>0</v>
      </c>
    </row>
    <row r="18" spans="1:16" x14ac:dyDescent="0.25">
      <c r="A18" s="7"/>
      <c r="B18" s="8"/>
      <c r="C18" s="8"/>
      <c r="D18" s="8"/>
      <c r="E18" s="8"/>
      <c r="F18" s="39"/>
      <c r="G18" s="8"/>
      <c r="H18" s="8"/>
      <c r="I18" s="8"/>
      <c r="J18" s="8"/>
      <c r="K18" s="8"/>
      <c r="L18" s="7"/>
      <c r="M18" s="7"/>
      <c r="N18" s="7"/>
      <c r="O18" s="39"/>
      <c r="P18" s="12">
        <f t="shared" si="0"/>
        <v>0</v>
      </c>
    </row>
    <row r="19" spans="1:16" x14ac:dyDescent="0.25">
      <c r="A19" s="7"/>
      <c r="B19" s="8"/>
      <c r="C19" s="8"/>
      <c r="D19" s="8"/>
      <c r="E19" s="8"/>
      <c r="F19" s="39"/>
      <c r="G19" s="8"/>
      <c r="H19" s="8"/>
      <c r="I19" s="8"/>
      <c r="J19" s="8"/>
      <c r="K19" s="8"/>
      <c r="L19" s="7"/>
      <c r="M19" s="7"/>
      <c r="N19" s="7"/>
      <c r="O19" s="39"/>
      <c r="P19" s="12">
        <f t="shared" si="0"/>
        <v>0</v>
      </c>
    </row>
  </sheetData>
  <mergeCells count="6">
    <mergeCell ref="A8:E8"/>
    <mergeCell ref="A4:O4"/>
    <mergeCell ref="A6:F6"/>
    <mergeCell ref="A1:D1"/>
    <mergeCell ref="A2:D2"/>
    <mergeCell ref="G6:P6"/>
  </mergeCells>
  <dataValidations count="8">
    <dataValidation type="list" allowBlank="1" showInputMessage="1" showErrorMessage="1" sqref="G9:G19" xr:uid="{83A06732-1D17-4792-9508-857BDAA0313D}">
      <formula1>Loại_chứng_từ</formula1>
    </dataValidation>
    <dataValidation type="list" allowBlank="1" showInputMessage="1" showErrorMessage="1" sqref="H9:H19" xr:uid="{9882A92C-38B8-4174-ADA0-11CEFD03BE9E}">
      <formula1>Hình_thức_thu_chi</formula1>
    </dataValidation>
    <dataValidation type="list" allowBlank="1" showInputMessage="1" showErrorMessage="1" sqref="I9:I19" xr:uid="{DFBB4160-8D50-4E2C-AA1C-240639CB1389}">
      <formula1>Hạng_mục_chi</formula1>
    </dataValidation>
    <dataValidation type="list" allowBlank="1" showInputMessage="1" showErrorMessage="1" sqref="C9:C19" xr:uid="{EE664060-6BD3-4557-BA55-AD65DFF338A2}">
      <formula1>THUCHINGOAI_Xã_phường</formula1>
    </dataValidation>
    <dataValidation type="list" allowBlank="1" showInputMessage="1" showErrorMessage="1" sqref="D9:D19" xr:uid="{3847ECE9-7470-496D-9949-EC4BC6086EC1}">
      <formula1>THUCHINGOAI_Khu_Thôn</formula1>
    </dataValidation>
    <dataValidation type="list" allowBlank="1" showInputMessage="1" showErrorMessage="1" sqref="E9:E19" xr:uid="{66D93138-AFAC-4406-B292-20CCAE390B19}">
      <formula1>THUCHIPABT_CMT_CCCD</formula1>
    </dataValidation>
    <dataValidation type="list" allowBlank="1" showInputMessage="1" showErrorMessage="1" sqref="J9:J19" xr:uid="{8F2ED0ED-AF82-4E46-8084-132342951982}">
      <formula1>THUCHINGOAI_PABT_Gốc</formula1>
    </dataValidation>
    <dataValidation type="list" allowBlank="1" showInputMessage="1" showErrorMessage="1" sqref="K9:K19" xr:uid="{C0ABA5D2-DFF3-4C4A-8A67-9ECC5941BAA6}">
      <formula1>THUCHINGOAI_GPMBNHANH_Gốc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C8035B-CB34-4A51-B80D-C9650BC23795}">
          <x14:formula1>
            <xm:f>'DM đối tượng PABT'!$C$8:$C$20000</xm:f>
          </x14:formula1>
          <xm:sqref>B9:B19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28</vt:i4>
      </vt:variant>
    </vt:vector>
  </HeadingPairs>
  <TitlesOfParts>
    <vt:vector size="59" baseType="lpstr">
      <vt:lpstr>DM thu chi</vt:lpstr>
      <vt:lpstr>DM đối tượng PABT</vt:lpstr>
      <vt:lpstr>DM Đối tượng GPMB nhanh</vt:lpstr>
      <vt:lpstr>1. QĐ PABT K.hợp GPMB nhanh</vt:lpstr>
      <vt:lpstr>1.1 QĐ PABT K.Hợp T.Hồi đất</vt:lpstr>
      <vt:lpstr>2. QĐ PABT Đ.Chỉnh</vt:lpstr>
      <vt:lpstr>2.1 QĐ GPMB nhanh Đ.Chỉnh</vt:lpstr>
      <vt:lpstr>2.2 QĐ T.Hồi đất Đ.Chỉnh</vt:lpstr>
      <vt:lpstr>3. TH giá trị</vt:lpstr>
      <vt:lpstr>4. C.Tiết P.Án B.Thường</vt:lpstr>
      <vt:lpstr>4.1 TH P.Án B.Thường</vt:lpstr>
      <vt:lpstr>TH P.Án B.Thường</vt:lpstr>
      <vt:lpstr>TH Thưởng GPMB nhanh</vt:lpstr>
      <vt:lpstr>4.2 TH PABT theo QĐ PABT</vt:lpstr>
      <vt:lpstr>4.3 TH PABT theo Đ.Tượng</vt:lpstr>
      <vt:lpstr>4.4 DS Đ.Tượng T.Ứng</vt:lpstr>
      <vt:lpstr>5. DS hộ thu hồi PABT</vt:lpstr>
      <vt:lpstr>5. C.Tiết T.Hồi đất</vt:lpstr>
      <vt:lpstr>5.1 TH T.Hồi đất</vt:lpstr>
      <vt:lpstr>6. DS hộ  thu hồi GPMB nhanh</vt:lpstr>
      <vt:lpstr>7. D.Kiến thu, chi PABT</vt:lpstr>
      <vt:lpstr>8. D.kiến thu,chi GPMB nhanh</vt:lpstr>
      <vt:lpstr>DM PABT</vt:lpstr>
      <vt:lpstr>9. Thu, chi PABT</vt:lpstr>
      <vt:lpstr>9.1 TH thu,chi PABT+GPMB nhanh </vt:lpstr>
      <vt:lpstr>TH T.ứng+thu+chi PABT</vt:lpstr>
      <vt:lpstr>TH T.ứng+thu+chi GPMB nhanh</vt:lpstr>
      <vt:lpstr>9.2 TH thu chi  theo Q.Định</vt:lpstr>
      <vt:lpstr>9.3 TH thu chi theo tên</vt:lpstr>
      <vt:lpstr>10. Thu,chi KP H.Đồng</vt:lpstr>
      <vt:lpstr>11. Thu, chi ngoài PABT</vt:lpstr>
      <vt:lpstr>'6. DS hộ  thu hồi GPMB nhanh'!Hạng_mục_chi</vt:lpstr>
      <vt:lpstr>'TH T.ứng+thu+chi GPMB nhanh'!Hạng_mục_chi</vt:lpstr>
      <vt:lpstr>'TH Thưởng GPMB nhanh'!Hạng_mục_chi</vt:lpstr>
      <vt:lpstr>Hạng_mục_chi</vt:lpstr>
      <vt:lpstr>'6. DS hộ  thu hồi GPMB nhanh'!Hình_thức_thu_chi</vt:lpstr>
      <vt:lpstr>'TH T.ứng+thu+chi GPMB nhanh'!Hình_thức_thu_chi</vt:lpstr>
      <vt:lpstr>'TH Thưởng GPMB nhanh'!Hình_thức_thu_chi</vt:lpstr>
      <vt:lpstr>Hình_thức_thu_chi</vt:lpstr>
      <vt:lpstr>'6. DS hộ  thu hồi GPMB nhanh'!Loại_chứng_từ</vt:lpstr>
      <vt:lpstr>'TH T.ứng+thu+chi GPMB nhanh'!Loại_chứng_từ</vt:lpstr>
      <vt:lpstr>'TH Thưởng GPMB nhanh'!Loại_chứng_từ</vt:lpstr>
      <vt:lpstr>Loại_chứng_từ</vt:lpstr>
      <vt:lpstr>'6. DS hộ  thu hồi GPMB nhanh'!Số_QĐ_CV_chi_phí_hội_đồng</vt:lpstr>
      <vt:lpstr>'TH T.ứng+thu+chi GPMB nhanh'!Số_QĐ_CV_chi_phí_hội_đồng</vt:lpstr>
      <vt:lpstr>'TH Thưởng GPMB nhanh'!Số_QĐ_CV_chi_phí_hội_đồng</vt:lpstr>
      <vt:lpstr>Số_QĐ_CV_chi_phí_hội_đồng</vt:lpstr>
      <vt:lpstr>'6. DS hộ  thu hồi GPMB nhanh'!Số_QĐ_phương_án_bồi_thường_gốc</vt:lpstr>
      <vt:lpstr>'TH T.ứng+thu+chi GPMB nhanh'!Số_QĐ_phương_án_bồi_thường_gốc</vt:lpstr>
      <vt:lpstr>'TH Thưởng GPMB nhanh'!Số_QĐ_phương_án_bồi_thường_gốc</vt:lpstr>
      <vt:lpstr>Số_QĐ_phương_án_bồi_thường_gốc</vt:lpstr>
      <vt:lpstr>'6. DS hộ  thu hồi GPMB nhanh'!Số_QĐ_thu_hồi_đất_gốc</vt:lpstr>
      <vt:lpstr>'TH T.ứng+thu+chi GPMB nhanh'!Số_QĐ_thu_hồi_đất_gốc</vt:lpstr>
      <vt:lpstr>'TH Thưởng GPMB nhanh'!Số_QĐ_thu_hồi_đất_gốc</vt:lpstr>
      <vt:lpstr>Số_QĐ_thu_hồi_đất_gốc</vt:lpstr>
      <vt:lpstr>'6. DS hộ  thu hồi GPMB nhanh'!Số_QĐ_thưởng_GPMB_nhanh_gốc</vt:lpstr>
      <vt:lpstr>'TH T.ứng+thu+chi GPMB nhanh'!Số_QĐ_thưởng_GPMB_nhanh_gốc</vt:lpstr>
      <vt:lpstr>'TH Thưởng GPMB nhanh'!Số_QĐ_thưởng_GPMB_nhanh_gốc</vt:lpstr>
      <vt:lpstr>Số_QĐ_thưởng_GPMB_nhanh_gốc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Đức Anh</dc:creator>
  <cp:lastModifiedBy>Hạ Quang Minh</cp:lastModifiedBy>
  <dcterms:created xsi:type="dcterms:W3CDTF">2024-09-12T03:50:38Z</dcterms:created>
  <dcterms:modified xsi:type="dcterms:W3CDTF">2025-02-25T07:46:09Z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2024-11-21T03:29:03Z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37a08f6e-93d7-49d1-96ea-dcf4f5f34a71</vt:lpwstr>
  </property>
  <property fmtid="{D5CDD505-2E9C-101B-9397-08002B2CF9AE}" pid="7" name="MSIP_Label_defa4170-0d19-0005-0004-bc88714345d2_ActionId">
    <vt:lpwstr>abd83986-52e4-408a-bb23-b6c8123894fc</vt:lpwstr>
  </property>
  <property fmtid="{D5CDD505-2E9C-101B-9397-08002B2CF9AE}" pid="8" name="MSIP_Label_defa4170-0d19-0005-0004-bc88714345d2_ContentBits">
    <vt:lpwstr>0</vt:lpwstr>
  </property>
</Properties>
</file>